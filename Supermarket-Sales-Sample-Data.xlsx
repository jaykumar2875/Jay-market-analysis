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Music\Excel Data for Analysis\"/>
    </mc:Choice>
  </mc:AlternateContent>
  <xr:revisionPtr revIDLastSave="125" documentId="8_{B84EA83E-DF64-456B-B114-911AE253CB0F}" xr6:coauthVersionLast="47" xr6:coauthVersionMax="47" xr10:uidLastSave="{F0C4596D-62DB-49E8-8B57-BEBAB71D9AF4}"/>
  <bookViews>
    <workbookView xWindow="-108" yWindow="-108" windowWidth="23256" windowHeight="12456" firstSheet="2" activeTab="2" xr2:uid="{13F4AE79-2971-4DD1-83EB-84B9C5A6F743}"/>
  </bookViews>
  <sheets>
    <sheet name="Sheet1" sheetId="3" r:id="rId1"/>
    <sheet name="Sheet3" sheetId="5" r:id="rId2"/>
    <sheet name="Sheet2" sheetId="6" r:id="rId3"/>
    <sheet name="SuperMarket Sales" sheetId="2" r:id="rId4"/>
  </sheets>
  <calcPr calcId="191028"/>
  <pivotCaches>
    <pivotCache cacheId="56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2" l="1"/>
  <c r="I78" i="2" s="1"/>
  <c r="H77" i="2"/>
  <c r="I77" i="2" s="1"/>
  <c r="H76" i="2"/>
  <c r="I76" i="2" s="1"/>
  <c r="H75" i="2"/>
  <c r="I75" i="2" s="1"/>
  <c r="H74" i="2"/>
  <c r="I74" i="2" s="1"/>
  <c r="I73" i="2"/>
  <c r="H73" i="2"/>
  <c r="H72" i="2"/>
  <c r="I72" i="2" s="1"/>
  <c r="H71" i="2"/>
  <c r="I71" i="2" s="1"/>
  <c r="H70" i="2"/>
  <c r="I70" i="2" s="1"/>
  <c r="I69" i="2"/>
  <c r="H69" i="2"/>
  <c r="H68" i="2"/>
  <c r="I68" i="2" s="1"/>
  <c r="H67" i="2"/>
  <c r="I67" i="2" s="1"/>
  <c r="H66" i="2"/>
  <c r="I66" i="2" s="1"/>
  <c r="I65" i="2"/>
  <c r="H65" i="2"/>
  <c r="H64" i="2"/>
  <c r="I64" i="2" s="1"/>
  <c r="H63" i="2"/>
  <c r="I63" i="2" s="1"/>
  <c r="H62" i="2"/>
  <c r="I62" i="2" s="1"/>
  <c r="I61" i="2"/>
  <c r="H61" i="2"/>
  <c r="H60" i="2"/>
  <c r="I60" i="2" s="1"/>
  <c r="H59" i="2"/>
  <c r="I59" i="2" s="1"/>
  <c r="H58" i="2"/>
  <c r="I58" i="2" s="1"/>
  <c r="I57" i="2"/>
  <c r="H57" i="2"/>
  <c r="H56" i="2"/>
  <c r="I56" i="2" s="1"/>
  <c r="H55" i="2"/>
  <c r="I55" i="2" s="1"/>
  <c r="H54" i="2"/>
  <c r="I54" i="2" s="1"/>
  <c r="I53" i="2"/>
  <c r="H53" i="2"/>
  <c r="H52" i="2"/>
  <c r="I52" i="2" s="1"/>
  <c r="H51" i="2"/>
  <c r="I51" i="2" s="1"/>
  <c r="H50" i="2"/>
  <c r="I50" i="2" s="1"/>
  <c r="I49" i="2"/>
  <c r="H49" i="2"/>
  <c r="H48" i="2"/>
  <c r="I48" i="2" s="1"/>
  <c r="H47" i="2"/>
  <c r="I47" i="2" s="1"/>
  <c r="H46" i="2"/>
  <c r="I46" i="2" s="1"/>
  <c r="I45" i="2"/>
  <c r="H45" i="2"/>
  <c r="H44" i="2"/>
  <c r="I44" i="2" s="1"/>
  <c r="H43" i="2"/>
  <c r="I43" i="2" s="1"/>
  <c r="H42" i="2"/>
  <c r="I42" i="2" s="1"/>
  <c r="I41" i="2"/>
  <c r="H41" i="2"/>
  <c r="H40" i="2"/>
  <c r="I40" i="2" s="1"/>
  <c r="H39" i="2"/>
  <c r="I39" i="2" s="1"/>
  <c r="H38" i="2"/>
  <c r="I38" i="2" s="1"/>
  <c r="I37" i="2"/>
  <c r="H37" i="2"/>
  <c r="H36" i="2"/>
  <c r="I36" i="2" s="1"/>
  <c r="H35" i="2"/>
  <c r="I35" i="2" s="1"/>
  <c r="H34" i="2"/>
  <c r="I34" i="2" s="1"/>
  <c r="I33" i="2"/>
  <c r="H33" i="2"/>
  <c r="H32" i="2"/>
  <c r="I32" i="2" s="1"/>
  <c r="H31" i="2"/>
  <c r="I31" i="2" s="1"/>
  <c r="H30" i="2"/>
  <c r="I30" i="2" s="1"/>
  <c r="I29" i="2"/>
  <c r="H29" i="2"/>
  <c r="H28" i="2"/>
  <c r="I28" i="2" s="1"/>
  <c r="H27" i="2"/>
  <c r="I27" i="2" s="1"/>
  <c r="H26" i="2"/>
  <c r="I26" i="2" s="1"/>
  <c r="I25" i="2"/>
  <c r="H25" i="2"/>
  <c r="H24" i="2"/>
  <c r="I24" i="2" s="1"/>
  <c r="H23" i="2"/>
  <c r="I23" i="2" s="1"/>
  <c r="H22" i="2"/>
  <c r="I22" i="2" s="1"/>
  <c r="I21" i="2"/>
  <c r="H21" i="2"/>
  <c r="H20" i="2"/>
  <c r="I20" i="2" s="1"/>
  <c r="H19" i="2"/>
  <c r="I19" i="2" s="1"/>
  <c r="H18" i="2"/>
  <c r="I18" i="2" s="1"/>
  <c r="I17" i="2"/>
  <c r="H17" i="2"/>
  <c r="H16" i="2"/>
  <c r="I16" i="2" s="1"/>
  <c r="H15" i="2"/>
  <c r="I15" i="2" s="1"/>
  <c r="H14" i="2"/>
  <c r="I14" i="2" s="1"/>
  <c r="I13" i="2"/>
  <c r="H13" i="2"/>
  <c r="H12" i="2"/>
  <c r="I12" i="2" s="1"/>
  <c r="H11" i="2"/>
  <c r="I11" i="2" s="1"/>
  <c r="H10" i="2"/>
  <c r="I10" i="2" s="1"/>
  <c r="I9" i="2"/>
  <c r="H9" i="2"/>
</calcChain>
</file>

<file path=xl/sharedStrings.xml><?xml version="1.0" encoding="utf-8"?>
<sst xmlns="http://schemas.openxmlformats.org/spreadsheetml/2006/main" count="317" uniqueCount="171">
  <si>
    <t>Order Date</t>
  </si>
  <si>
    <t>Sum of Total (USD)2</t>
  </si>
  <si>
    <t>Grand Total</t>
  </si>
  <si>
    <t>Customer Name</t>
  </si>
  <si>
    <t>Sum of Total (USD)</t>
  </si>
  <si>
    <t>Jennifer Davis</t>
  </si>
  <si>
    <t>Michael Johnson</t>
  </si>
  <si>
    <t>David Wilson</t>
  </si>
  <si>
    <t>Jessica Wilson</t>
  </si>
  <si>
    <t>David Rodriguez</t>
  </si>
  <si>
    <t>Emily Brown</t>
  </si>
  <si>
    <t>Sarah Gonzalez</t>
  </si>
  <si>
    <t>Matthew Garcia</t>
  </si>
  <si>
    <t>Emily Johnson</t>
  </si>
  <si>
    <t>Daniel Hernandez</t>
  </si>
  <si>
    <t>Jennifer Hernandez</t>
  </si>
  <si>
    <t>Michael Martinez</t>
  </si>
  <si>
    <t>Matthew Smith</t>
  </si>
  <si>
    <t>Sarah Johnson</t>
  </si>
  <si>
    <t>Jessica Martinez</t>
  </si>
  <si>
    <t>Daniel Brown</t>
  </si>
  <si>
    <t>Emily Davis</t>
  </si>
  <si>
    <t>Michael Davis</t>
  </si>
  <si>
    <t>Kimberly Garcia</t>
  </si>
  <si>
    <t>Daniel Smith</t>
  </si>
  <si>
    <t>Daniel Davis</t>
  </si>
  <si>
    <t>Melissa Lopez</t>
  </si>
  <si>
    <t>David Martinez</t>
  </si>
  <si>
    <t>Michael Garcia</t>
  </si>
  <si>
    <t>Lisa Taylor</t>
  </si>
  <si>
    <t>Jennifer Martinez</t>
  </si>
  <si>
    <t>Sarah Garcia</t>
  </si>
  <si>
    <t>Amanda Martinez</t>
  </si>
  <si>
    <t>Amy Hernandez</t>
  </si>
  <si>
    <t>Richard Perez</t>
  </si>
  <si>
    <t>Michael Smith</t>
  </si>
  <si>
    <t>Jennifer Smith</t>
  </si>
  <si>
    <t>Daniel Wilson</t>
  </si>
  <si>
    <t>William Hernandez</t>
  </si>
  <si>
    <t>Jessica Smith</t>
  </si>
  <si>
    <t>Sarah Smith</t>
  </si>
  <si>
    <t>Matthew Hernandez</t>
  </si>
  <si>
    <t>Sarah Anderson</t>
  </si>
  <si>
    <t>James Johnson</t>
  </si>
  <si>
    <t>Jessica Gonzalez</t>
  </si>
  <si>
    <t>Christopher Rodriguez</t>
  </si>
  <si>
    <t>Jessica Johnson</t>
  </si>
  <si>
    <t>Daniel Martinez</t>
  </si>
  <si>
    <t>Laura Brown</t>
  </si>
  <si>
    <t>Emily Rodriguez</t>
  </si>
  <si>
    <t>Matthew Johnson</t>
  </si>
  <si>
    <t>John Smith</t>
  </si>
  <si>
    <t>Christopher Thomas</t>
  </si>
  <si>
    <t>David Brown</t>
  </si>
  <si>
    <t>Matthew Wilson</t>
  </si>
  <si>
    <t>Jane Doe</t>
  </si>
  <si>
    <t>Order No</t>
  </si>
  <si>
    <t>Sum of Order Quantity</t>
  </si>
  <si>
    <t>1001</t>
  </si>
  <si>
    <t>1002</t>
  </si>
  <si>
    <t>1/1/2024 Total</t>
  </si>
  <si>
    <t>1003</t>
  </si>
  <si>
    <t>1004</t>
  </si>
  <si>
    <t>1/2/2024 Total</t>
  </si>
  <si>
    <t>1005</t>
  </si>
  <si>
    <t>1006</t>
  </si>
  <si>
    <t>1/3/2024 Total</t>
  </si>
  <si>
    <t>1007</t>
  </si>
  <si>
    <t>1008</t>
  </si>
  <si>
    <t>1/4/2024 Total</t>
  </si>
  <si>
    <t>1009</t>
  </si>
  <si>
    <t>1010</t>
  </si>
  <si>
    <t>1/5/2024 Total</t>
  </si>
  <si>
    <t>1011</t>
  </si>
  <si>
    <t>1012</t>
  </si>
  <si>
    <t>1/6/2024 Total</t>
  </si>
  <si>
    <t>1013</t>
  </si>
  <si>
    <t>1014</t>
  </si>
  <si>
    <t>1/7/2024 Total</t>
  </si>
  <si>
    <t>1015</t>
  </si>
  <si>
    <t>1016</t>
  </si>
  <si>
    <t>1/8/2024 Total</t>
  </si>
  <si>
    <t>1017</t>
  </si>
  <si>
    <t>1018</t>
  </si>
  <si>
    <t>1/9/2024 Total</t>
  </si>
  <si>
    <t>1019</t>
  </si>
  <si>
    <t>1020</t>
  </si>
  <si>
    <t>1/10/2024 Total</t>
  </si>
  <si>
    <t>1021</t>
  </si>
  <si>
    <t>1022</t>
  </si>
  <si>
    <t>1/11/2024 Total</t>
  </si>
  <si>
    <t>1023</t>
  </si>
  <si>
    <t>1024</t>
  </si>
  <si>
    <t>1/12/2024 Total</t>
  </si>
  <si>
    <t>1025</t>
  </si>
  <si>
    <t>1026</t>
  </si>
  <si>
    <t>1/13/2024 Total</t>
  </si>
  <si>
    <t>1027</t>
  </si>
  <si>
    <t>1028</t>
  </si>
  <si>
    <t>1/14/2024 Total</t>
  </si>
  <si>
    <t>1029</t>
  </si>
  <si>
    <t>1030</t>
  </si>
  <si>
    <t>1/15/2024 Total</t>
  </si>
  <si>
    <t>1031</t>
  </si>
  <si>
    <t>1032</t>
  </si>
  <si>
    <t>1/16/2024 Total</t>
  </si>
  <si>
    <t>1033</t>
  </si>
  <si>
    <t>1034</t>
  </si>
  <si>
    <t>1/17/2024 Total</t>
  </si>
  <si>
    <t>1035</t>
  </si>
  <si>
    <t>1036</t>
  </si>
  <si>
    <t>1/18/2024 Total</t>
  </si>
  <si>
    <t>1037</t>
  </si>
  <si>
    <t>1038</t>
  </si>
  <si>
    <t>1/19/2024 Total</t>
  </si>
  <si>
    <t>1039</t>
  </si>
  <si>
    <t>1040</t>
  </si>
  <si>
    <t>1/20/2024 Total</t>
  </si>
  <si>
    <t>1041</t>
  </si>
  <si>
    <t>1042</t>
  </si>
  <si>
    <t>1/21/2024 Total</t>
  </si>
  <si>
    <t>1043</t>
  </si>
  <si>
    <t>1044</t>
  </si>
  <si>
    <t>1/22/2024 Total</t>
  </si>
  <si>
    <t>1045</t>
  </si>
  <si>
    <t>1046</t>
  </si>
  <si>
    <t>1/23/2024 Total</t>
  </si>
  <si>
    <t>1047</t>
  </si>
  <si>
    <t>1048</t>
  </si>
  <si>
    <t>1/24/2024 Total</t>
  </si>
  <si>
    <t>1049</t>
  </si>
  <si>
    <t>1050</t>
  </si>
  <si>
    <t>1/25/2024 Total</t>
  </si>
  <si>
    <t>1051</t>
  </si>
  <si>
    <t>1052</t>
  </si>
  <si>
    <t>1/26/2024 Total</t>
  </si>
  <si>
    <t>1053</t>
  </si>
  <si>
    <t>1054</t>
  </si>
  <si>
    <t>1/27/2024 Total</t>
  </si>
  <si>
    <t>1055</t>
  </si>
  <si>
    <t>1056</t>
  </si>
  <si>
    <t>1/28/2024 Total</t>
  </si>
  <si>
    <t>1057</t>
  </si>
  <si>
    <t>1058</t>
  </si>
  <si>
    <t>1/29/2024 Total</t>
  </si>
  <si>
    <t>1059</t>
  </si>
  <si>
    <t>1060</t>
  </si>
  <si>
    <t>1/30/2024 Total</t>
  </si>
  <si>
    <t>1061</t>
  </si>
  <si>
    <t>1062</t>
  </si>
  <si>
    <t>1/31/2024 Total</t>
  </si>
  <si>
    <t>1063</t>
  </si>
  <si>
    <t>1064</t>
  </si>
  <si>
    <t>1065</t>
  </si>
  <si>
    <t>2/1/2024 Total</t>
  </si>
  <si>
    <t>1066</t>
  </si>
  <si>
    <t>2/2/2024 Total</t>
  </si>
  <si>
    <t>1067</t>
  </si>
  <si>
    <t>2/3/2024 Total</t>
  </si>
  <si>
    <t>1068</t>
  </si>
  <si>
    <t>1069</t>
  </si>
  <si>
    <t>1070</t>
  </si>
  <si>
    <t>2/4/2024 Total</t>
  </si>
  <si>
    <t>Excel Sample Data</t>
  </si>
  <si>
    <t>Supermarket Sales Data</t>
  </si>
  <si>
    <t>Tax</t>
  </si>
  <si>
    <t>Ship Date</t>
  </si>
  <si>
    <t>Retail Price (USD)</t>
  </si>
  <si>
    <t>Order Quantity</t>
  </si>
  <si>
    <t>Tax (USD)</t>
  </si>
  <si>
    <t>Total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</si>
</sst>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9" fontId="6" fillId="0" borderId="2" xfId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14" fontId="3" fillId="0" borderId="0" xfId="0" applyNumberFormat="1" applyFont="1"/>
    <xf numFmtId="0" fontId="5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4" fontId="6" fillId="0" borderId="7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0" fillId="0" borderId="0" xfId="0" applyNumberFormat="1"/>
    <xf numFmtId="0" fontId="0" fillId="0" borderId="0" xfId="0" pivotButton="1"/>
    <xf numFmtId="14" fontId="0" fillId="0" borderId="0" xfId="0" applyNumberFormat="1"/>
    <xf numFmtId="0" fontId="7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  <right style="thin">
          <color rgb="FFD9D9D9"/>
        </right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[Supermarket-Sales-Sample-Data.xlsx]Sheet1!PivotTable1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EA72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EA72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Sheet1!$A$4:$A$39</c:f>
              <c:strCache>
                <c:ptCount val="35"/>
                <c:pt idx="0">
                  <c:v>1/1/2024</c:v>
                </c:pt>
                <c:pt idx="1">
                  <c:v>1/2/2024</c:v>
                </c:pt>
                <c:pt idx="2">
                  <c:v>1/3/2024</c:v>
                </c:pt>
                <c:pt idx="3">
                  <c:v>1/4/2024</c:v>
                </c:pt>
                <c:pt idx="4">
                  <c:v>1/5/2024</c:v>
                </c:pt>
                <c:pt idx="5">
                  <c:v>1/6/2024</c:v>
                </c:pt>
                <c:pt idx="6">
                  <c:v>1/7/2024</c:v>
                </c:pt>
                <c:pt idx="7">
                  <c:v>1/8/2024</c:v>
                </c:pt>
                <c:pt idx="8">
                  <c:v>1/9/2024</c:v>
                </c:pt>
                <c:pt idx="9">
                  <c:v>1/10/2024</c:v>
                </c:pt>
                <c:pt idx="10">
                  <c:v>1/11/2024</c:v>
                </c:pt>
                <c:pt idx="11">
                  <c:v>1/12/2024</c:v>
                </c:pt>
                <c:pt idx="12">
                  <c:v>1/13/2024</c:v>
                </c:pt>
                <c:pt idx="13">
                  <c:v>1/14/2024</c:v>
                </c:pt>
                <c:pt idx="14">
                  <c:v>1/15/2024</c:v>
                </c:pt>
                <c:pt idx="15">
                  <c:v>1/16/2024</c:v>
                </c:pt>
                <c:pt idx="16">
                  <c:v>1/17/2024</c:v>
                </c:pt>
                <c:pt idx="17">
                  <c:v>1/18/2024</c:v>
                </c:pt>
                <c:pt idx="18">
                  <c:v>1/19/2024</c:v>
                </c:pt>
                <c:pt idx="19">
                  <c:v>1/20/2024</c:v>
                </c:pt>
                <c:pt idx="20">
                  <c:v>1/21/2024</c:v>
                </c:pt>
                <c:pt idx="21">
                  <c:v>1/22/2024</c:v>
                </c:pt>
                <c:pt idx="22">
                  <c:v>1/23/2024</c:v>
                </c:pt>
                <c:pt idx="23">
                  <c:v>1/24/2024</c:v>
                </c:pt>
                <c:pt idx="24">
                  <c:v>1/25/2024</c:v>
                </c:pt>
                <c:pt idx="25">
                  <c:v>1/26/2024</c:v>
                </c:pt>
                <c:pt idx="26">
                  <c:v>1/27/2024</c:v>
                </c:pt>
                <c:pt idx="27">
                  <c:v>1/28/2024</c:v>
                </c:pt>
                <c:pt idx="28">
                  <c:v>1/29/2024</c:v>
                </c:pt>
                <c:pt idx="29">
                  <c:v>1/30/2024</c:v>
                </c:pt>
                <c:pt idx="30">
                  <c:v>1/31/2024</c:v>
                </c:pt>
                <c:pt idx="31">
                  <c:v>2/1/2024</c:v>
                </c:pt>
                <c:pt idx="32">
                  <c:v>2/2/2024</c:v>
                </c:pt>
                <c:pt idx="33">
                  <c:v>2/3/2024</c:v>
                </c:pt>
                <c:pt idx="34">
                  <c:v>2/4/2024</c:v>
                </c:pt>
              </c:strCache>
            </c:strRef>
          </c:cat>
          <c:val>
            <c:numRef>
              <c:f>Sheet1!$B$4:$B$39</c:f>
              <c:numCache>
                <c:formatCode>General</c:formatCode>
                <c:ptCount val="35"/>
                <c:pt idx="0">
                  <c:v>142.96700000000001</c:v>
                </c:pt>
                <c:pt idx="1">
                  <c:v>417.923</c:v>
                </c:pt>
                <c:pt idx="2">
                  <c:v>340.96699999999998</c:v>
                </c:pt>
                <c:pt idx="3">
                  <c:v>285.94499999999994</c:v>
                </c:pt>
                <c:pt idx="4">
                  <c:v>318.97800000000001</c:v>
                </c:pt>
                <c:pt idx="5">
                  <c:v>340.923</c:v>
                </c:pt>
                <c:pt idx="6">
                  <c:v>307.95600000000002</c:v>
                </c:pt>
                <c:pt idx="7">
                  <c:v>252.94499999999999</c:v>
                </c:pt>
                <c:pt idx="8">
                  <c:v>285.94499999999994</c:v>
                </c:pt>
                <c:pt idx="9">
                  <c:v>384.93399999999997</c:v>
                </c:pt>
                <c:pt idx="10">
                  <c:v>340.94499999999994</c:v>
                </c:pt>
                <c:pt idx="11">
                  <c:v>230.94499999999999</c:v>
                </c:pt>
                <c:pt idx="12">
                  <c:v>318.96699999999998</c:v>
                </c:pt>
                <c:pt idx="13">
                  <c:v>351.95600000000002</c:v>
                </c:pt>
                <c:pt idx="14">
                  <c:v>340.923</c:v>
                </c:pt>
                <c:pt idx="15">
                  <c:v>307.95600000000002</c:v>
                </c:pt>
                <c:pt idx="16">
                  <c:v>252.94499999999999</c:v>
                </c:pt>
                <c:pt idx="17">
                  <c:v>285.94499999999994</c:v>
                </c:pt>
                <c:pt idx="18">
                  <c:v>384.93399999999997</c:v>
                </c:pt>
                <c:pt idx="19">
                  <c:v>340.94499999999994</c:v>
                </c:pt>
                <c:pt idx="20">
                  <c:v>230.94499999999999</c:v>
                </c:pt>
                <c:pt idx="21">
                  <c:v>318.96699999999998</c:v>
                </c:pt>
                <c:pt idx="22">
                  <c:v>351.95600000000002</c:v>
                </c:pt>
                <c:pt idx="23">
                  <c:v>340.923</c:v>
                </c:pt>
                <c:pt idx="24">
                  <c:v>307.95600000000002</c:v>
                </c:pt>
                <c:pt idx="25">
                  <c:v>252.94499999999999</c:v>
                </c:pt>
                <c:pt idx="26">
                  <c:v>285.94499999999994</c:v>
                </c:pt>
                <c:pt idx="27">
                  <c:v>384.93399999999997</c:v>
                </c:pt>
                <c:pt idx="28">
                  <c:v>340.94499999999994</c:v>
                </c:pt>
                <c:pt idx="29">
                  <c:v>230.94499999999999</c:v>
                </c:pt>
                <c:pt idx="30">
                  <c:v>318.96699999999998</c:v>
                </c:pt>
                <c:pt idx="31">
                  <c:v>516.90100000000007</c:v>
                </c:pt>
                <c:pt idx="32">
                  <c:v>175.97799999999998</c:v>
                </c:pt>
                <c:pt idx="33">
                  <c:v>164.96699999999998</c:v>
                </c:pt>
                <c:pt idx="34">
                  <c:v>395.93399999999997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C-4B83-9E2F-2FDB209FE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14600"/>
        <c:axId val="199216648"/>
      </c:lineChart>
      <c:catAx>
        <c:axId val="19921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16648"/>
        <c:crosses val="autoZero"/>
        <c:auto val="1"/>
        <c:lblAlgn val="ctr"/>
        <c:lblOffset val="100"/>
        <c:noMultiLvlLbl val="0"/>
      </c:catAx>
      <c:valAx>
        <c:axId val="19921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1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[Supermarket-Sales-Sample-Data.xlsx]Sheet3!PivotTable2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solidFill>
              <a:srgbClr val="FFFF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Sheet3!$A$4:$A$55</c:f>
              <c:strCache>
                <c:ptCount val="51"/>
                <c:pt idx="0">
                  <c:v>Jennifer Davis</c:v>
                </c:pt>
                <c:pt idx="1">
                  <c:v>Michael Johnson</c:v>
                </c:pt>
                <c:pt idx="2">
                  <c:v>David Wilson</c:v>
                </c:pt>
                <c:pt idx="3">
                  <c:v>Jessica Wilson</c:v>
                </c:pt>
                <c:pt idx="4">
                  <c:v>David Rodriguez</c:v>
                </c:pt>
                <c:pt idx="5">
                  <c:v>Emily Brown</c:v>
                </c:pt>
                <c:pt idx="6">
                  <c:v>Sarah Gonzalez</c:v>
                </c:pt>
                <c:pt idx="7">
                  <c:v>Matthew Garcia</c:v>
                </c:pt>
                <c:pt idx="8">
                  <c:v>Emily Johnson</c:v>
                </c:pt>
                <c:pt idx="9">
                  <c:v>Daniel Hernandez</c:v>
                </c:pt>
                <c:pt idx="10">
                  <c:v>Jennifer Hernandez</c:v>
                </c:pt>
                <c:pt idx="11">
                  <c:v>Michael Martinez</c:v>
                </c:pt>
                <c:pt idx="12">
                  <c:v>Matthew Smith</c:v>
                </c:pt>
                <c:pt idx="13">
                  <c:v>Sarah Johnson</c:v>
                </c:pt>
                <c:pt idx="14">
                  <c:v>Jessica Martinez</c:v>
                </c:pt>
                <c:pt idx="15">
                  <c:v>Daniel Brown</c:v>
                </c:pt>
                <c:pt idx="16">
                  <c:v>Emily Davis</c:v>
                </c:pt>
                <c:pt idx="17">
                  <c:v>Michael Davis</c:v>
                </c:pt>
                <c:pt idx="18">
                  <c:v>Kimberly Garcia</c:v>
                </c:pt>
                <c:pt idx="19">
                  <c:v>Daniel Smith</c:v>
                </c:pt>
                <c:pt idx="20">
                  <c:v>Daniel Davis</c:v>
                </c:pt>
                <c:pt idx="21">
                  <c:v>Melissa Lopez</c:v>
                </c:pt>
                <c:pt idx="22">
                  <c:v>David Martinez</c:v>
                </c:pt>
                <c:pt idx="23">
                  <c:v>Michael Garcia</c:v>
                </c:pt>
                <c:pt idx="24">
                  <c:v>Lisa Taylor</c:v>
                </c:pt>
                <c:pt idx="25">
                  <c:v>Jennifer Martinez</c:v>
                </c:pt>
                <c:pt idx="26">
                  <c:v>Sarah Garcia</c:v>
                </c:pt>
                <c:pt idx="27">
                  <c:v>Amanda Martinez</c:v>
                </c:pt>
                <c:pt idx="28">
                  <c:v>Amy Hernandez</c:v>
                </c:pt>
                <c:pt idx="29">
                  <c:v>Richard Perez</c:v>
                </c:pt>
                <c:pt idx="30">
                  <c:v>Michael Smith</c:v>
                </c:pt>
                <c:pt idx="31">
                  <c:v>Jennifer Smith</c:v>
                </c:pt>
                <c:pt idx="32">
                  <c:v>Daniel Wilson</c:v>
                </c:pt>
                <c:pt idx="33">
                  <c:v>William Hernandez</c:v>
                </c:pt>
                <c:pt idx="34">
                  <c:v>Jessica Smith</c:v>
                </c:pt>
                <c:pt idx="35">
                  <c:v>Sarah Smith</c:v>
                </c:pt>
                <c:pt idx="36">
                  <c:v>Matthew Hernandez</c:v>
                </c:pt>
                <c:pt idx="37">
                  <c:v>Sarah Anderson</c:v>
                </c:pt>
                <c:pt idx="38">
                  <c:v>James Johnson</c:v>
                </c:pt>
                <c:pt idx="39">
                  <c:v>Jessica Gonzalez</c:v>
                </c:pt>
                <c:pt idx="40">
                  <c:v>Christopher Rodriguez</c:v>
                </c:pt>
                <c:pt idx="41">
                  <c:v>Jessica Johnson</c:v>
                </c:pt>
                <c:pt idx="42">
                  <c:v>Daniel Martinez</c:v>
                </c:pt>
                <c:pt idx="43">
                  <c:v>Laura Brown</c:v>
                </c:pt>
                <c:pt idx="44">
                  <c:v>Emily Rodriguez</c:v>
                </c:pt>
                <c:pt idx="45">
                  <c:v>Matthew Johnson</c:v>
                </c:pt>
                <c:pt idx="46">
                  <c:v>John Smith</c:v>
                </c:pt>
                <c:pt idx="47">
                  <c:v>Christopher Thomas</c:v>
                </c:pt>
                <c:pt idx="48">
                  <c:v>David Brown</c:v>
                </c:pt>
                <c:pt idx="49">
                  <c:v>Matthew Wilson</c:v>
                </c:pt>
                <c:pt idx="50">
                  <c:v>Jane Doe</c:v>
                </c:pt>
              </c:strCache>
            </c:strRef>
          </c:cat>
          <c:val>
            <c:numRef>
              <c:f>Sheet3!$B$4:$B$55</c:f>
              <c:numCache>
                <c:formatCode>General</c:formatCode>
                <c:ptCount val="51"/>
                <c:pt idx="0">
                  <c:v>538.91199999999992</c:v>
                </c:pt>
                <c:pt idx="1">
                  <c:v>505.94499999999994</c:v>
                </c:pt>
                <c:pt idx="2">
                  <c:v>472.96699999999998</c:v>
                </c:pt>
                <c:pt idx="3">
                  <c:v>395.96699999999998</c:v>
                </c:pt>
                <c:pt idx="4">
                  <c:v>329.91199999999998</c:v>
                </c:pt>
                <c:pt idx="5">
                  <c:v>329.89</c:v>
                </c:pt>
                <c:pt idx="6">
                  <c:v>318.96699999999998</c:v>
                </c:pt>
                <c:pt idx="7">
                  <c:v>307.97800000000001</c:v>
                </c:pt>
                <c:pt idx="8">
                  <c:v>307.97800000000001</c:v>
                </c:pt>
                <c:pt idx="9">
                  <c:v>296.95600000000002</c:v>
                </c:pt>
                <c:pt idx="10">
                  <c:v>296.95600000000002</c:v>
                </c:pt>
                <c:pt idx="11">
                  <c:v>296.91199999999998</c:v>
                </c:pt>
                <c:pt idx="12">
                  <c:v>252.92299999999997</c:v>
                </c:pt>
                <c:pt idx="13">
                  <c:v>252.92299999999997</c:v>
                </c:pt>
                <c:pt idx="14">
                  <c:v>252.92299999999997</c:v>
                </c:pt>
                <c:pt idx="15">
                  <c:v>241.93399999999997</c:v>
                </c:pt>
                <c:pt idx="16">
                  <c:v>219.989</c:v>
                </c:pt>
                <c:pt idx="17">
                  <c:v>219.989</c:v>
                </c:pt>
                <c:pt idx="18">
                  <c:v>219.989</c:v>
                </c:pt>
                <c:pt idx="19">
                  <c:v>219.989</c:v>
                </c:pt>
                <c:pt idx="20">
                  <c:v>219.989</c:v>
                </c:pt>
                <c:pt idx="21">
                  <c:v>175.97799999999998</c:v>
                </c:pt>
                <c:pt idx="22">
                  <c:v>175.97799999999998</c:v>
                </c:pt>
                <c:pt idx="23">
                  <c:v>175.97799999999998</c:v>
                </c:pt>
                <c:pt idx="24">
                  <c:v>175.97799999999998</c:v>
                </c:pt>
                <c:pt idx="25">
                  <c:v>175.97799999999998</c:v>
                </c:pt>
                <c:pt idx="26">
                  <c:v>164.989</c:v>
                </c:pt>
                <c:pt idx="27">
                  <c:v>164.989</c:v>
                </c:pt>
                <c:pt idx="28">
                  <c:v>164.96699999999998</c:v>
                </c:pt>
                <c:pt idx="29">
                  <c:v>164.96699999999998</c:v>
                </c:pt>
                <c:pt idx="30">
                  <c:v>164.96699999999998</c:v>
                </c:pt>
                <c:pt idx="31">
                  <c:v>164.94499999999999</c:v>
                </c:pt>
                <c:pt idx="32">
                  <c:v>164.94499999999999</c:v>
                </c:pt>
                <c:pt idx="33">
                  <c:v>164.94499999999999</c:v>
                </c:pt>
                <c:pt idx="34">
                  <c:v>164.94499999999999</c:v>
                </c:pt>
                <c:pt idx="35">
                  <c:v>153.97799999999998</c:v>
                </c:pt>
                <c:pt idx="36">
                  <c:v>153.97799999999998</c:v>
                </c:pt>
                <c:pt idx="37">
                  <c:v>153.97799999999998</c:v>
                </c:pt>
                <c:pt idx="38">
                  <c:v>153.97799999999998</c:v>
                </c:pt>
                <c:pt idx="39">
                  <c:v>142.989</c:v>
                </c:pt>
                <c:pt idx="40">
                  <c:v>142.989</c:v>
                </c:pt>
                <c:pt idx="41">
                  <c:v>142.989</c:v>
                </c:pt>
                <c:pt idx="42">
                  <c:v>131.96699999999998</c:v>
                </c:pt>
                <c:pt idx="43">
                  <c:v>131.96699999999998</c:v>
                </c:pt>
                <c:pt idx="44">
                  <c:v>131.96699999999998</c:v>
                </c:pt>
                <c:pt idx="45">
                  <c:v>131.96699999999998</c:v>
                </c:pt>
                <c:pt idx="46">
                  <c:v>109.97800000000001</c:v>
                </c:pt>
                <c:pt idx="47">
                  <c:v>98.98899999999999</c:v>
                </c:pt>
                <c:pt idx="48">
                  <c:v>87.955999999999989</c:v>
                </c:pt>
                <c:pt idx="49">
                  <c:v>87.955999999999989</c:v>
                </c:pt>
                <c:pt idx="50">
                  <c:v>32.988999999999997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D-49C2-B9F1-251B3170B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4"/>
        <c:axId val="121850888"/>
        <c:axId val="140710920"/>
      </c:barChart>
      <c:catAx>
        <c:axId val="12185088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10920"/>
        <c:crosses val="autoZero"/>
        <c:auto val="1"/>
        <c:lblAlgn val="ctr"/>
        <c:lblOffset val="100"/>
        <c:noMultiLvlLbl val="0"/>
      </c:catAx>
      <c:valAx>
        <c:axId val="1407109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rgbClr val="4EA72E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00B05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5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61CBF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[Supermarket-Sales-Sample-Data.xlsx]Sheet2!PivotTable3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46-4475-AADE-9F7CDDC542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46-4475-AADE-9F7CDDC542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46-4475-AADE-9F7CDDC542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46-4475-AADE-9F7CDDC542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46-4475-AADE-9F7CDDC542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E46-4475-AADE-9F7CDDC542C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E46-4475-AADE-9F7CDDC542C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E46-4475-AADE-9F7CDDC542C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E46-4475-AADE-9F7CDDC542C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E46-4475-AADE-9F7CDDC542C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E46-4475-AADE-9F7CDDC542C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E46-4475-AADE-9F7CDDC542C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E46-4475-AADE-9F7CDDC542C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E46-4475-AADE-9F7CDDC542C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E46-4475-AADE-9F7CDDC542C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E46-4475-AADE-9F7CDDC542C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E46-4475-AADE-9F7CDDC542C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E46-4475-AADE-9F7CDDC542C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E46-4475-AADE-9F7CDDC542C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E46-4475-AADE-9F7CDDC542C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E46-4475-AADE-9F7CDDC542C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E46-4475-AADE-9F7CDDC542CA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9E46-4475-AADE-9F7CDDC542CA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9E46-4475-AADE-9F7CDDC542CA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9E46-4475-AADE-9F7CDDC542CA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9E46-4475-AADE-9F7CDDC542CA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9E46-4475-AADE-9F7CDDC542CA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9E46-4475-AADE-9F7CDDC542CA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9E46-4475-AADE-9F7CDDC542CA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9E46-4475-AADE-9F7CDDC542CA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9E46-4475-AADE-9F7CDDC542CA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9E46-4475-AADE-9F7CDDC542CA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9E46-4475-AADE-9F7CDDC542CA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9E46-4475-AADE-9F7CDDC542CA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9E46-4475-AADE-9F7CDDC542CA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9E46-4475-AADE-9F7CDDC542CA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9E46-4475-AADE-9F7CDDC542CA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9E46-4475-AADE-9F7CDDC542CA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9E46-4475-AADE-9F7CDDC542CA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9E46-4475-AADE-9F7CDDC542CA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9E46-4475-AADE-9F7CDDC542CA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9E46-4475-AADE-9F7CDDC542CA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9E46-4475-AADE-9F7CDDC542CA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9E46-4475-AADE-9F7CDDC542CA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9E46-4475-AADE-9F7CDDC542CA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9E46-4475-AADE-9F7CDDC542CA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9E46-4475-AADE-9F7CDDC542CA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9E46-4475-AADE-9F7CDDC542CA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9E46-4475-AADE-9F7CDDC542CA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9E46-4475-AADE-9F7CDDC542CA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9E46-4475-AADE-9F7CDDC542CA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9E46-4475-AADE-9F7CDDC542CA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9E46-4475-AADE-9F7CDDC542CA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9E46-4475-AADE-9F7CDDC542CA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9E46-4475-AADE-9F7CDDC542CA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9E46-4475-AADE-9F7CDDC542CA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9E46-4475-AADE-9F7CDDC542CA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9E46-4475-AADE-9F7CDDC542CA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9E46-4475-AADE-9F7CDDC542CA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9E46-4475-AADE-9F7CDDC542CA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9E46-4475-AADE-9F7CDDC542CA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9E46-4475-AADE-9F7CDDC542CA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9E46-4475-AADE-9F7CDDC542CA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9E46-4475-AADE-9F7CDDC542CA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9E46-4475-AADE-9F7CDDC542CA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9E46-4475-AADE-9F7CDDC542CA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9E46-4475-AADE-9F7CDDC542CA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9E46-4475-AADE-9F7CDDC542CA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9E46-4475-AADE-9F7CDDC542CA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9E46-4475-AADE-9F7CDDC542CA}"/>
              </c:ext>
            </c:extLst>
          </c:dPt>
          <c:cat>
            <c:multiLvlStrRef>
              <c:f>Sheet2!$A$4:$B$109</c:f>
              <c:multiLvlStrCache>
                <c:ptCount val="70"/>
                <c:lvl>
                  <c:pt idx="0">
                    <c:v>1001</c:v>
                  </c:pt>
                  <c:pt idx="1">
                    <c:v>1002</c:v>
                  </c:pt>
                  <c:pt idx="2">
                    <c:v>1003</c:v>
                  </c:pt>
                  <c:pt idx="3">
                    <c:v>1004</c:v>
                  </c:pt>
                  <c:pt idx="4">
                    <c:v>1005</c:v>
                  </c:pt>
                  <c:pt idx="5">
                    <c:v>1006</c:v>
                  </c:pt>
                  <c:pt idx="6">
                    <c:v>1007</c:v>
                  </c:pt>
                  <c:pt idx="7">
                    <c:v>1008</c:v>
                  </c:pt>
                  <c:pt idx="8">
                    <c:v>1009</c:v>
                  </c:pt>
                  <c:pt idx="9">
                    <c:v>1010</c:v>
                  </c:pt>
                  <c:pt idx="10">
                    <c:v>1011</c:v>
                  </c:pt>
                  <c:pt idx="11">
                    <c:v>1012</c:v>
                  </c:pt>
                  <c:pt idx="12">
                    <c:v>1013</c:v>
                  </c:pt>
                  <c:pt idx="13">
                    <c:v>1014</c:v>
                  </c:pt>
                  <c:pt idx="14">
                    <c:v>1015</c:v>
                  </c:pt>
                  <c:pt idx="15">
                    <c:v>1016</c:v>
                  </c:pt>
                  <c:pt idx="16">
                    <c:v>1017</c:v>
                  </c:pt>
                  <c:pt idx="17">
                    <c:v>1018</c:v>
                  </c:pt>
                  <c:pt idx="18">
                    <c:v>1019</c:v>
                  </c:pt>
                  <c:pt idx="19">
                    <c:v>1020</c:v>
                  </c:pt>
                  <c:pt idx="20">
                    <c:v>1021</c:v>
                  </c:pt>
                  <c:pt idx="21">
                    <c:v>1022</c:v>
                  </c:pt>
                  <c:pt idx="22">
                    <c:v>1023</c:v>
                  </c:pt>
                  <c:pt idx="23">
                    <c:v>1024</c:v>
                  </c:pt>
                  <c:pt idx="24">
                    <c:v>1025</c:v>
                  </c:pt>
                  <c:pt idx="25">
                    <c:v>1026</c:v>
                  </c:pt>
                  <c:pt idx="26">
                    <c:v>1027</c:v>
                  </c:pt>
                  <c:pt idx="27">
                    <c:v>1028</c:v>
                  </c:pt>
                  <c:pt idx="28">
                    <c:v>1029</c:v>
                  </c:pt>
                  <c:pt idx="29">
                    <c:v>1030</c:v>
                  </c:pt>
                  <c:pt idx="30">
                    <c:v>1031</c:v>
                  </c:pt>
                  <c:pt idx="31">
                    <c:v>1032</c:v>
                  </c:pt>
                  <c:pt idx="32">
                    <c:v>1033</c:v>
                  </c:pt>
                  <c:pt idx="33">
                    <c:v>1034</c:v>
                  </c:pt>
                  <c:pt idx="34">
                    <c:v>1035</c:v>
                  </c:pt>
                  <c:pt idx="35">
                    <c:v>1036</c:v>
                  </c:pt>
                  <c:pt idx="36">
                    <c:v>1037</c:v>
                  </c:pt>
                  <c:pt idx="37">
                    <c:v>1038</c:v>
                  </c:pt>
                  <c:pt idx="38">
                    <c:v>1039</c:v>
                  </c:pt>
                  <c:pt idx="39">
                    <c:v>1040</c:v>
                  </c:pt>
                  <c:pt idx="40">
                    <c:v>1041</c:v>
                  </c:pt>
                  <c:pt idx="41">
                    <c:v>1042</c:v>
                  </c:pt>
                  <c:pt idx="42">
                    <c:v>1043</c:v>
                  </c:pt>
                  <c:pt idx="43">
                    <c:v>1044</c:v>
                  </c:pt>
                  <c:pt idx="44">
                    <c:v>1045</c:v>
                  </c:pt>
                  <c:pt idx="45">
                    <c:v>1046</c:v>
                  </c:pt>
                  <c:pt idx="46">
                    <c:v>1047</c:v>
                  </c:pt>
                  <c:pt idx="47">
                    <c:v>1048</c:v>
                  </c:pt>
                  <c:pt idx="48">
                    <c:v>1049</c:v>
                  </c:pt>
                  <c:pt idx="49">
                    <c:v>1050</c:v>
                  </c:pt>
                  <c:pt idx="50">
                    <c:v>1051</c:v>
                  </c:pt>
                  <c:pt idx="51">
                    <c:v>1052</c:v>
                  </c:pt>
                  <c:pt idx="52">
                    <c:v>1053</c:v>
                  </c:pt>
                  <c:pt idx="53">
                    <c:v>1054</c:v>
                  </c:pt>
                  <c:pt idx="54">
                    <c:v>1055</c:v>
                  </c:pt>
                  <c:pt idx="55">
                    <c:v>1056</c:v>
                  </c:pt>
                  <c:pt idx="56">
                    <c:v>1057</c:v>
                  </c:pt>
                  <c:pt idx="57">
                    <c:v>1058</c:v>
                  </c:pt>
                  <c:pt idx="58">
                    <c:v>1059</c:v>
                  </c:pt>
                  <c:pt idx="59">
                    <c:v>1060</c:v>
                  </c:pt>
                  <c:pt idx="60">
                    <c:v>1061</c:v>
                  </c:pt>
                  <c:pt idx="61">
                    <c:v>1062</c:v>
                  </c:pt>
                  <c:pt idx="62">
                    <c:v>1063</c:v>
                  </c:pt>
                  <c:pt idx="63">
                    <c:v>1064</c:v>
                  </c:pt>
                  <c:pt idx="64">
                    <c:v>1065</c:v>
                  </c:pt>
                  <c:pt idx="65">
                    <c:v>1066</c:v>
                  </c:pt>
                  <c:pt idx="66">
                    <c:v>1067</c:v>
                  </c:pt>
                  <c:pt idx="67">
                    <c:v>1068</c:v>
                  </c:pt>
                  <c:pt idx="68">
                    <c:v>1069</c:v>
                  </c:pt>
                  <c:pt idx="69">
                    <c:v>1070</c:v>
                  </c:pt>
                </c:lvl>
                <c:lvl>
                  <c:pt idx="0">
                    <c:v>1/1/2024</c:v>
                  </c:pt>
                  <c:pt idx="2">
                    <c:v>1/2/2024</c:v>
                  </c:pt>
                  <c:pt idx="4">
                    <c:v>1/3/2024</c:v>
                  </c:pt>
                  <c:pt idx="6">
                    <c:v>1/4/2024</c:v>
                  </c:pt>
                  <c:pt idx="8">
                    <c:v>1/5/2024</c:v>
                  </c:pt>
                  <c:pt idx="10">
                    <c:v>1/6/2024</c:v>
                  </c:pt>
                  <c:pt idx="12">
                    <c:v>1/7/2024</c:v>
                  </c:pt>
                  <c:pt idx="14">
                    <c:v>1/8/2024</c:v>
                  </c:pt>
                  <c:pt idx="16">
                    <c:v>1/9/2024</c:v>
                  </c:pt>
                  <c:pt idx="18">
                    <c:v>1/10/2024</c:v>
                  </c:pt>
                  <c:pt idx="20">
                    <c:v>1/11/2024</c:v>
                  </c:pt>
                  <c:pt idx="22">
                    <c:v>1/12/2024</c:v>
                  </c:pt>
                  <c:pt idx="24">
                    <c:v>1/13/2024</c:v>
                  </c:pt>
                  <c:pt idx="26">
                    <c:v>1/14/2024</c:v>
                  </c:pt>
                  <c:pt idx="28">
                    <c:v>1/15/2024</c:v>
                  </c:pt>
                  <c:pt idx="30">
                    <c:v>1/16/2024</c:v>
                  </c:pt>
                  <c:pt idx="32">
                    <c:v>1/17/2024</c:v>
                  </c:pt>
                  <c:pt idx="34">
                    <c:v>1/18/2024</c:v>
                  </c:pt>
                  <c:pt idx="36">
                    <c:v>1/19/2024</c:v>
                  </c:pt>
                  <c:pt idx="38">
                    <c:v>1/20/2024</c:v>
                  </c:pt>
                  <c:pt idx="40">
                    <c:v>1/21/2024</c:v>
                  </c:pt>
                  <c:pt idx="42">
                    <c:v>1/22/2024</c:v>
                  </c:pt>
                  <c:pt idx="44">
                    <c:v>1/23/2024</c:v>
                  </c:pt>
                  <c:pt idx="46">
                    <c:v>1/24/2024</c:v>
                  </c:pt>
                  <c:pt idx="48">
                    <c:v>1/25/2024</c:v>
                  </c:pt>
                  <c:pt idx="50">
                    <c:v>1/26/2024</c:v>
                  </c:pt>
                  <c:pt idx="52">
                    <c:v>1/27/2024</c:v>
                  </c:pt>
                  <c:pt idx="54">
                    <c:v>1/28/2024</c:v>
                  </c:pt>
                  <c:pt idx="56">
                    <c:v>1/29/2024</c:v>
                  </c:pt>
                  <c:pt idx="58">
                    <c:v>1/30/2024</c:v>
                  </c:pt>
                  <c:pt idx="60">
                    <c:v>1/31/2024</c:v>
                  </c:pt>
                  <c:pt idx="62">
                    <c:v>2/1/2024</c:v>
                  </c:pt>
                  <c:pt idx="65">
                    <c:v>2/2/2024</c:v>
                  </c:pt>
                  <c:pt idx="66">
                    <c:v>2/3/2024</c:v>
                  </c:pt>
                  <c:pt idx="67">
                    <c:v>2/4/2024</c:v>
                  </c:pt>
                </c:lvl>
              </c:multiLvlStrCache>
            </c:multiLvlStrRef>
          </c:cat>
          <c:val>
            <c:numRef>
              <c:f>Sheet2!$C$4:$C$109</c:f>
              <c:numCache>
                <c:formatCode>General</c:formatCode>
                <c:ptCount val="70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3</c:v>
                </c:pt>
                <c:pt idx="22">
                  <c:v>1</c:v>
                </c:pt>
                <c:pt idx="23">
                  <c:v>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5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4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5</c:v>
                </c:pt>
                <c:pt idx="38">
                  <c:v>2</c:v>
                </c:pt>
                <c:pt idx="39">
                  <c:v>3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1</c:v>
                </c:pt>
                <c:pt idx="46">
                  <c:v>5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  <c:pt idx="50">
                  <c:v>4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1</c:v>
                </c:pt>
                <c:pt idx="55">
                  <c:v>5</c:v>
                </c:pt>
                <c:pt idx="56">
                  <c:v>2</c:v>
                </c:pt>
                <c:pt idx="57">
                  <c:v>3</c:v>
                </c:pt>
                <c:pt idx="58">
                  <c:v>1</c:v>
                </c:pt>
                <c:pt idx="59">
                  <c:v>4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1</c:v>
                </c:pt>
                <c:pt idx="64">
                  <c:v>5</c:v>
                </c:pt>
                <c:pt idx="65">
                  <c:v>2</c:v>
                </c:pt>
                <c:pt idx="66">
                  <c:v>3</c:v>
                </c:pt>
                <c:pt idx="67">
                  <c:v>1</c:v>
                </c:pt>
                <c:pt idx="68">
                  <c:v>4</c:v>
                </c:pt>
                <c:pt idx="6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E3-4AE7-B4C4-E2A0E047A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Sheet2!$A$4:$A$108</c:f>
              <c:strCache>
                <c:ptCount val="105"/>
                <c:pt idx="0">
                  <c:v>1/1/2024</c:v>
                </c:pt>
                <c:pt idx="2">
                  <c:v>1/1/2024 Total</c:v>
                </c:pt>
                <c:pt idx="3">
                  <c:v>1/2/2024</c:v>
                </c:pt>
                <c:pt idx="5">
                  <c:v>1/2/2024 Total</c:v>
                </c:pt>
                <c:pt idx="6">
                  <c:v>1/3/2024</c:v>
                </c:pt>
                <c:pt idx="8">
                  <c:v>1/3/2024 Total</c:v>
                </c:pt>
                <c:pt idx="9">
                  <c:v>1/4/2024</c:v>
                </c:pt>
                <c:pt idx="11">
                  <c:v>1/4/2024 Total</c:v>
                </c:pt>
                <c:pt idx="12">
                  <c:v>1/5/2024</c:v>
                </c:pt>
                <c:pt idx="14">
                  <c:v>1/5/2024 Total</c:v>
                </c:pt>
                <c:pt idx="15">
                  <c:v>1/6/2024</c:v>
                </c:pt>
                <c:pt idx="17">
                  <c:v>1/6/2024 Total</c:v>
                </c:pt>
                <c:pt idx="18">
                  <c:v>1/7/2024</c:v>
                </c:pt>
                <c:pt idx="20">
                  <c:v>1/7/2024 Total</c:v>
                </c:pt>
                <c:pt idx="21">
                  <c:v>1/8/2024</c:v>
                </c:pt>
                <c:pt idx="23">
                  <c:v>1/8/2024 Total</c:v>
                </c:pt>
                <c:pt idx="24">
                  <c:v>1/9/2024</c:v>
                </c:pt>
                <c:pt idx="26">
                  <c:v>1/9/2024 Total</c:v>
                </c:pt>
                <c:pt idx="27">
                  <c:v>1/10/2024</c:v>
                </c:pt>
                <c:pt idx="29">
                  <c:v>1/10/2024 Total</c:v>
                </c:pt>
                <c:pt idx="30">
                  <c:v>1/11/2024</c:v>
                </c:pt>
                <c:pt idx="32">
                  <c:v>1/11/2024 Total</c:v>
                </c:pt>
                <c:pt idx="33">
                  <c:v>1/12/2024</c:v>
                </c:pt>
                <c:pt idx="35">
                  <c:v>1/12/2024 Total</c:v>
                </c:pt>
                <c:pt idx="36">
                  <c:v>1/13/2024</c:v>
                </c:pt>
                <c:pt idx="38">
                  <c:v>1/13/2024 Total</c:v>
                </c:pt>
                <c:pt idx="39">
                  <c:v>1/14/2024</c:v>
                </c:pt>
                <c:pt idx="41">
                  <c:v>1/14/2024 Total</c:v>
                </c:pt>
                <c:pt idx="42">
                  <c:v>1/15/2024</c:v>
                </c:pt>
                <c:pt idx="44">
                  <c:v>1/15/2024 Total</c:v>
                </c:pt>
                <c:pt idx="45">
                  <c:v>1/16/2024</c:v>
                </c:pt>
                <c:pt idx="47">
                  <c:v>1/16/2024 Total</c:v>
                </c:pt>
                <c:pt idx="48">
                  <c:v>1/17/2024</c:v>
                </c:pt>
                <c:pt idx="50">
                  <c:v>1/17/2024 Total</c:v>
                </c:pt>
                <c:pt idx="51">
                  <c:v>1/18/2024</c:v>
                </c:pt>
                <c:pt idx="53">
                  <c:v>1/18/2024 Total</c:v>
                </c:pt>
                <c:pt idx="54">
                  <c:v>1/19/2024</c:v>
                </c:pt>
                <c:pt idx="56">
                  <c:v>1/19/2024 Total</c:v>
                </c:pt>
                <c:pt idx="57">
                  <c:v>1/20/2024</c:v>
                </c:pt>
                <c:pt idx="59">
                  <c:v>1/20/2024 Total</c:v>
                </c:pt>
                <c:pt idx="60">
                  <c:v>1/21/2024</c:v>
                </c:pt>
                <c:pt idx="62">
                  <c:v>1/21/2024 Total</c:v>
                </c:pt>
                <c:pt idx="63">
                  <c:v>1/22/2024</c:v>
                </c:pt>
                <c:pt idx="65">
                  <c:v>1/22/2024 Total</c:v>
                </c:pt>
                <c:pt idx="66">
                  <c:v>1/23/2024</c:v>
                </c:pt>
                <c:pt idx="68">
                  <c:v>1/23/2024 Total</c:v>
                </c:pt>
                <c:pt idx="69">
                  <c:v>1/24/2024</c:v>
                </c:pt>
                <c:pt idx="71">
                  <c:v>1/24/2024 Total</c:v>
                </c:pt>
                <c:pt idx="72">
                  <c:v>1/25/2024</c:v>
                </c:pt>
                <c:pt idx="74">
                  <c:v>1/25/2024 Total</c:v>
                </c:pt>
                <c:pt idx="75">
                  <c:v>1/26/2024</c:v>
                </c:pt>
                <c:pt idx="77">
                  <c:v>1/26/2024 Total</c:v>
                </c:pt>
                <c:pt idx="78">
                  <c:v>1/27/2024</c:v>
                </c:pt>
                <c:pt idx="80">
                  <c:v>1/27/2024 Total</c:v>
                </c:pt>
                <c:pt idx="81">
                  <c:v>1/28/2024</c:v>
                </c:pt>
                <c:pt idx="83">
                  <c:v>1/28/2024 Total</c:v>
                </c:pt>
                <c:pt idx="84">
                  <c:v>1/29/2024</c:v>
                </c:pt>
                <c:pt idx="86">
                  <c:v>1/29/2024 Total</c:v>
                </c:pt>
                <c:pt idx="87">
                  <c:v>1/30/2024</c:v>
                </c:pt>
                <c:pt idx="89">
                  <c:v>1/30/2024 Total</c:v>
                </c:pt>
                <c:pt idx="90">
                  <c:v>1/31/2024</c:v>
                </c:pt>
                <c:pt idx="92">
                  <c:v>1/31/2024 Total</c:v>
                </c:pt>
                <c:pt idx="93">
                  <c:v>2/1/2024</c:v>
                </c:pt>
                <c:pt idx="96">
                  <c:v>2/1/2024 Total</c:v>
                </c:pt>
                <c:pt idx="97">
                  <c:v>2/2/2024</c:v>
                </c:pt>
                <c:pt idx="98">
                  <c:v>2/2/2024 Total</c:v>
                </c:pt>
                <c:pt idx="99">
                  <c:v>2/3/2024</c:v>
                </c:pt>
                <c:pt idx="100">
                  <c:v>2/3/2024 Total</c:v>
                </c:pt>
                <c:pt idx="101">
                  <c:v>2/4/2024</c:v>
                </c:pt>
                <c:pt idx="104">
                  <c:v>2/4/2024 Total</c:v>
                </c:pt>
              </c:strCache>
            </c:strRef>
          </c:cat>
          <c:val>
            <c:numRef>
              <c:f>Sheet2!$B$4:$B$108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2">
                  <c:v>0</c:v>
                </c:pt>
                <c:pt idx="43">
                  <c:v>0</c:v>
                </c:pt>
                <c:pt idx="45">
                  <c:v>0</c:v>
                </c:pt>
                <c:pt idx="46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</c:v>
                </c:pt>
                <c:pt idx="52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60">
                  <c:v>0</c:v>
                </c:pt>
                <c:pt idx="61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0</c:v>
                </c:pt>
                <c:pt idx="70">
                  <c:v>0</c:v>
                </c:pt>
                <c:pt idx="72">
                  <c:v>0</c:v>
                </c:pt>
                <c:pt idx="73">
                  <c:v>0</c:v>
                </c:pt>
                <c:pt idx="75">
                  <c:v>0</c:v>
                </c:pt>
                <c:pt idx="76">
                  <c:v>0</c:v>
                </c:pt>
                <c:pt idx="78">
                  <c:v>0</c:v>
                </c:pt>
                <c:pt idx="79">
                  <c:v>0</c:v>
                </c:pt>
                <c:pt idx="81">
                  <c:v>0</c:v>
                </c:pt>
                <c:pt idx="82">
                  <c:v>0</c:v>
                </c:pt>
                <c:pt idx="84">
                  <c:v>0</c:v>
                </c:pt>
                <c:pt idx="85">
                  <c:v>0</c:v>
                </c:pt>
                <c:pt idx="87">
                  <c:v>0</c:v>
                </c:pt>
                <c:pt idx="88">
                  <c:v>0</c:v>
                </c:pt>
                <c:pt idx="90">
                  <c:v>0</c:v>
                </c:pt>
                <c:pt idx="91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7">
                  <c:v>0</c:v>
                </c:pt>
                <c:pt idx="99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19-4ED1-8A27-5341FE6295ED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</c:strCache>
            </c:strRef>
          </c:tx>
          <c:spPr>
            <a:solidFill>
              <a:schemeClr val="accent2"/>
            </a:solidFill>
            <a:ln w="1905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Sheet2!$A$4:$A$108</c:f>
              <c:strCache>
                <c:ptCount val="105"/>
                <c:pt idx="0">
                  <c:v>1/1/2024</c:v>
                </c:pt>
                <c:pt idx="2">
                  <c:v>1/1/2024 Total</c:v>
                </c:pt>
                <c:pt idx="3">
                  <c:v>1/2/2024</c:v>
                </c:pt>
                <c:pt idx="5">
                  <c:v>1/2/2024 Total</c:v>
                </c:pt>
                <c:pt idx="6">
                  <c:v>1/3/2024</c:v>
                </c:pt>
                <c:pt idx="8">
                  <c:v>1/3/2024 Total</c:v>
                </c:pt>
                <c:pt idx="9">
                  <c:v>1/4/2024</c:v>
                </c:pt>
                <c:pt idx="11">
                  <c:v>1/4/2024 Total</c:v>
                </c:pt>
                <c:pt idx="12">
                  <c:v>1/5/2024</c:v>
                </c:pt>
                <c:pt idx="14">
                  <c:v>1/5/2024 Total</c:v>
                </c:pt>
                <c:pt idx="15">
                  <c:v>1/6/2024</c:v>
                </c:pt>
                <c:pt idx="17">
                  <c:v>1/6/2024 Total</c:v>
                </c:pt>
                <c:pt idx="18">
                  <c:v>1/7/2024</c:v>
                </c:pt>
                <c:pt idx="20">
                  <c:v>1/7/2024 Total</c:v>
                </c:pt>
                <c:pt idx="21">
                  <c:v>1/8/2024</c:v>
                </c:pt>
                <c:pt idx="23">
                  <c:v>1/8/2024 Total</c:v>
                </c:pt>
                <c:pt idx="24">
                  <c:v>1/9/2024</c:v>
                </c:pt>
                <c:pt idx="26">
                  <c:v>1/9/2024 Total</c:v>
                </c:pt>
                <c:pt idx="27">
                  <c:v>1/10/2024</c:v>
                </c:pt>
                <c:pt idx="29">
                  <c:v>1/10/2024 Total</c:v>
                </c:pt>
                <c:pt idx="30">
                  <c:v>1/11/2024</c:v>
                </c:pt>
                <c:pt idx="32">
                  <c:v>1/11/2024 Total</c:v>
                </c:pt>
                <c:pt idx="33">
                  <c:v>1/12/2024</c:v>
                </c:pt>
                <c:pt idx="35">
                  <c:v>1/12/2024 Total</c:v>
                </c:pt>
                <c:pt idx="36">
                  <c:v>1/13/2024</c:v>
                </c:pt>
                <c:pt idx="38">
                  <c:v>1/13/2024 Total</c:v>
                </c:pt>
                <c:pt idx="39">
                  <c:v>1/14/2024</c:v>
                </c:pt>
                <c:pt idx="41">
                  <c:v>1/14/2024 Total</c:v>
                </c:pt>
                <c:pt idx="42">
                  <c:v>1/15/2024</c:v>
                </c:pt>
                <c:pt idx="44">
                  <c:v>1/15/2024 Total</c:v>
                </c:pt>
                <c:pt idx="45">
                  <c:v>1/16/2024</c:v>
                </c:pt>
                <c:pt idx="47">
                  <c:v>1/16/2024 Total</c:v>
                </c:pt>
                <c:pt idx="48">
                  <c:v>1/17/2024</c:v>
                </c:pt>
                <c:pt idx="50">
                  <c:v>1/17/2024 Total</c:v>
                </c:pt>
                <c:pt idx="51">
                  <c:v>1/18/2024</c:v>
                </c:pt>
                <c:pt idx="53">
                  <c:v>1/18/2024 Total</c:v>
                </c:pt>
                <c:pt idx="54">
                  <c:v>1/19/2024</c:v>
                </c:pt>
                <c:pt idx="56">
                  <c:v>1/19/2024 Total</c:v>
                </c:pt>
                <c:pt idx="57">
                  <c:v>1/20/2024</c:v>
                </c:pt>
                <c:pt idx="59">
                  <c:v>1/20/2024 Total</c:v>
                </c:pt>
                <c:pt idx="60">
                  <c:v>1/21/2024</c:v>
                </c:pt>
                <c:pt idx="62">
                  <c:v>1/21/2024 Total</c:v>
                </c:pt>
                <c:pt idx="63">
                  <c:v>1/22/2024</c:v>
                </c:pt>
                <c:pt idx="65">
                  <c:v>1/22/2024 Total</c:v>
                </c:pt>
                <c:pt idx="66">
                  <c:v>1/23/2024</c:v>
                </c:pt>
                <c:pt idx="68">
                  <c:v>1/23/2024 Total</c:v>
                </c:pt>
                <c:pt idx="69">
                  <c:v>1/24/2024</c:v>
                </c:pt>
                <c:pt idx="71">
                  <c:v>1/24/2024 Total</c:v>
                </c:pt>
                <c:pt idx="72">
                  <c:v>1/25/2024</c:v>
                </c:pt>
                <c:pt idx="74">
                  <c:v>1/25/2024 Total</c:v>
                </c:pt>
                <c:pt idx="75">
                  <c:v>1/26/2024</c:v>
                </c:pt>
                <c:pt idx="77">
                  <c:v>1/26/2024 Total</c:v>
                </c:pt>
                <c:pt idx="78">
                  <c:v>1/27/2024</c:v>
                </c:pt>
                <c:pt idx="80">
                  <c:v>1/27/2024 Total</c:v>
                </c:pt>
                <c:pt idx="81">
                  <c:v>1/28/2024</c:v>
                </c:pt>
                <c:pt idx="83">
                  <c:v>1/28/2024 Total</c:v>
                </c:pt>
                <c:pt idx="84">
                  <c:v>1/29/2024</c:v>
                </c:pt>
                <c:pt idx="86">
                  <c:v>1/29/2024 Total</c:v>
                </c:pt>
                <c:pt idx="87">
                  <c:v>1/30/2024</c:v>
                </c:pt>
                <c:pt idx="89">
                  <c:v>1/30/2024 Total</c:v>
                </c:pt>
                <c:pt idx="90">
                  <c:v>1/31/2024</c:v>
                </c:pt>
                <c:pt idx="92">
                  <c:v>1/31/2024 Total</c:v>
                </c:pt>
                <c:pt idx="93">
                  <c:v>2/1/2024</c:v>
                </c:pt>
                <c:pt idx="96">
                  <c:v>2/1/2024 Total</c:v>
                </c:pt>
                <c:pt idx="97">
                  <c:v>2/2/2024</c:v>
                </c:pt>
                <c:pt idx="98">
                  <c:v>2/2/2024 Total</c:v>
                </c:pt>
                <c:pt idx="99">
                  <c:v>2/3/2024</c:v>
                </c:pt>
                <c:pt idx="100">
                  <c:v>2/3/2024 Total</c:v>
                </c:pt>
                <c:pt idx="101">
                  <c:v>2/4/2024</c:v>
                </c:pt>
                <c:pt idx="104">
                  <c:v>2/4/2024 Total</c:v>
                </c:pt>
              </c:strCache>
            </c:strRef>
          </c:cat>
          <c:val>
            <c:numRef>
              <c:f>Sheet2!$C$4:$C$108</c:f>
              <c:numCache>
                <c:formatCode>General</c:formatCode>
                <c:ptCount val="10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7</c:v>
                </c:pt>
                <c:pt idx="18">
                  <c:v>3</c:v>
                </c:pt>
                <c:pt idx="19">
                  <c:v>1</c:v>
                </c:pt>
                <c:pt idx="20">
                  <c:v>4</c:v>
                </c:pt>
                <c:pt idx="21">
                  <c:v>4</c:v>
                </c:pt>
                <c:pt idx="22">
                  <c:v>1</c:v>
                </c:pt>
                <c:pt idx="23">
                  <c:v>5</c:v>
                </c:pt>
                <c:pt idx="24">
                  <c:v>2</c:v>
                </c:pt>
                <c:pt idx="25">
                  <c:v>3</c:v>
                </c:pt>
                <c:pt idx="26">
                  <c:v>5</c:v>
                </c:pt>
                <c:pt idx="27">
                  <c:v>1</c:v>
                </c:pt>
                <c:pt idx="28">
                  <c:v>5</c:v>
                </c:pt>
                <c:pt idx="29">
                  <c:v>6</c:v>
                </c:pt>
                <c:pt idx="30">
                  <c:v>2</c:v>
                </c:pt>
                <c:pt idx="31">
                  <c:v>3</c:v>
                </c:pt>
                <c:pt idx="32">
                  <c:v>5</c:v>
                </c:pt>
                <c:pt idx="33">
                  <c:v>1</c:v>
                </c:pt>
                <c:pt idx="34">
                  <c:v>4</c:v>
                </c:pt>
                <c:pt idx="35">
                  <c:v>5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1</c:v>
                </c:pt>
                <c:pt idx="41">
                  <c:v>4</c:v>
                </c:pt>
                <c:pt idx="42">
                  <c:v>5</c:v>
                </c:pt>
                <c:pt idx="43">
                  <c:v>2</c:v>
                </c:pt>
                <c:pt idx="44">
                  <c:v>7</c:v>
                </c:pt>
                <c:pt idx="45">
                  <c:v>3</c:v>
                </c:pt>
                <c:pt idx="46">
                  <c:v>1</c:v>
                </c:pt>
                <c:pt idx="47">
                  <c:v>4</c:v>
                </c:pt>
                <c:pt idx="48">
                  <c:v>4</c:v>
                </c:pt>
                <c:pt idx="49">
                  <c:v>1</c:v>
                </c:pt>
                <c:pt idx="50">
                  <c:v>5</c:v>
                </c:pt>
                <c:pt idx="51">
                  <c:v>2</c:v>
                </c:pt>
                <c:pt idx="52">
                  <c:v>3</c:v>
                </c:pt>
                <c:pt idx="53">
                  <c:v>5</c:v>
                </c:pt>
                <c:pt idx="54">
                  <c:v>1</c:v>
                </c:pt>
                <c:pt idx="55">
                  <c:v>5</c:v>
                </c:pt>
                <c:pt idx="56">
                  <c:v>6</c:v>
                </c:pt>
                <c:pt idx="57">
                  <c:v>2</c:v>
                </c:pt>
                <c:pt idx="58">
                  <c:v>3</c:v>
                </c:pt>
                <c:pt idx="59">
                  <c:v>5</c:v>
                </c:pt>
                <c:pt idx="60">
                  <c:v>1</c:v>
                </c:pt>
                <c:pt idx="61">
                  <c:v>4</c:v>
                </c:pt>
                <c:pt idx="62">
                  <c:v>5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1</c:v>
                </c:pt>
                <c:pt idx="68">
                  <c:v>4</c:v>
                </c:pt>
                <c:pt idx="69">
                  <c:v>5</c:v>
                </c:pt>
                <c:pt idx="70">
                  <c:v>2</c:v>
                </c:pt>
                <c:pt idx="71">
                  <c:v>7</c:v>
                </c:pt>
                <c:pt idx="72">
                  <c:v>3</c:v>
                </c:pt>
                <c:pt idx="73">
                  <c:v>1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5</c:v>
                </c:pt>
                <c:pt idx="78">
                  <c:v>2</c:v>
                </c:pt>
                <c:pt idx="79">
                  <c:v>3</c:v>
                </c:pt>
                <c:pt idx="80">
                  <c:v>5</c:v>
                </c:pt>
                <c:pt idx="81">
                  <c:v>1</c:v>
                </c:pt>
                <c:pt idx="82">
                  <c:v>5</c:v>
                </c:pt>
                <c:pt idx="83">
                  <c:v>6</c:v>
                </c:pt>
                <c:pt idx="84">
                  <c:v>2</c:v>
                </c:pt>
                <c:pt idx="85">
                  <c:v>3</c:v>
                </c:pt>
                <c:pt idx="86">
                  <c:v>5</c:v>
                </c:pt>
                <c:pt idx="87">
                  <c:v>1</c:v>
                </c:pt>
                <c:pt idx="88">
                  <c:v>4</c:v>
                </c:pt>
                <c:pt idx="89">
                  <c:v>5</c:v>
                </c:pt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3</c:v>
                </c:pt>
                <c:pt idx="94">
                  <c:v>1</c:v>
                </c:pt>
                <c:pt idx="95">
                  <c:v>5</c:v>
                </c:pt>
                <c:pt idx="96">
                  <c:v>9</c:v>
                </c:pt>
                <c:pt idx="97">
                  <c:v>2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4</c:v>
                </c:pt>
                <c:pt idx="103">
                  <c:v>1</c:v>
                </c:pt>
                <c:pt idx="10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19-4ED1-8A27-5341FE629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3749384"/>
        <c:axId val="283753992"/>
      </c:barChart>
      <c:catAx>
        <c:axId val="283749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753992"/>
        <c:crosses val="autoZero"/>
        <c:auto val="1"/>
        <c:lblAlgn val="ctr"/>
        <c:lblOffset val="100"/>
        <c:noMultiLvlLbl val="0"/>
      </c:catAx>
      <c:valAx>
        <c:axId val="28375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74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00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2</xdr:row>
      <xdr:rowOff>171450</xdr:rowOff>
    </xdr:from>
    <xdr:to>
      <xdr:col>10</xdr:col>
      <xdr:colOff>390525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61A06-FFAE-C372-D03E-0366514A6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</xdr:row>
      <xdr:rowOff>104775</xdr:rowOff>
    </xdr:from>
    <xdr:to>
      <xdr:col>12</xdr:col>
      <xdr:colOff>561975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A1F97-6727-A34B-8AD5-EFA165AEE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400050</xdr:colOff>
      <xdr:row>9</xdr:row>
      <xdr:rowOff>0</xdr:rowOff>
    </xdr:from>
    <xdr:to>
      <xdr:col>20</xdr:col>
      <xdr:colOff>95250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45A4E-E55F-22A7-C38F-87558B48A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400050</xdr:colOff>
      <xdr:row>0</xdr:row>
      <xdr:rowOff>161925</xdr:rowOff>
    </xdr:from>
    <xdr:to>
      <xdr:col>22</xdr:col>
      <xdr:colOff>219075</xdr:colOff>
      <xdr:row>32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CF5F70-68C7-36DC-E3E9-F6F9F555F27D}"/>
            </a:ext>
            <a:ext uri="{147F2762-F138-4A5C-976F-8EAC2B608ADB}">
              <a16:predDERef xmlns:a16="http://schemas.microsoft.com/office/drawing/2014/main" pred="{34945A4E-E55F-22A7-C38F-87558B48A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0.607154166668" createdVersion="8" refreshedVersion="8" minRefreshableVersion="3" recordCount="70" xr:uid="{B5B71FF6-4C46-4C41-9CE5-DB082A06D483}">
  <cacheSource type="worksheet">
    <worksheetSource name="Table1"/>
  </cacheSource>
  <cacheFields count="8">
    <cacheField name="Order No" numFmtId="0">
      <sharedItems count="70"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</sharedItems>
    </cacheField>
    <cacheField name="Order Date" numFmtId="14">
      <sharedItems containsSemiMixedTypes="0" containsNonDate="0" containsDate="1" containsString="0" minDate="2024-01-01T00:00:00" maxDate="2024-02-05T00:00:00" count="3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</sharedItems>
    </cacheField>
    <cacheField name="Customer Name" numFmtId="0">
      <sharedItems count="51">
        <s v="John Smith"/>
        <s v="Jane Doe"/>
        <s v="Michael Johnson"/>
        <s v="Emily Brown"/>
        <s v="David Wilson"/>
        <s v="Lisa Taylor"/>
        <s v="Daniel Martinez"/>
        <s v="Sarah Anderson"/>
        <s v="Christopher Thomas"/>
        <s v="Kimberly Garcia"/>
        <s v="William Hernandez"/>
        <s v="Melissa Lopez"/>
        <s v="Richard Perez"/>
        <s v="Jessica Gonzalez"/>
        <s v="Matthew Wilson"/>
        <s v="Amanda Martinez"/>
        <s v="James Johnson"/>
        <s v="Laura Brown"/>
        <s v="Daniel Smith"/>
        <s v="Jennifer Davis"/>
        <s v="Michael Garcia"/>
        <s v="Amy Hernandez"/>
        <s v="Christopher Rodriguez"/>
        <s v="Jessica Martinez"/>
        <s v="Sarah Smith"/>
        <s v="Matthew Johnson"/>
        <s v="Emily Davis"/>
        <s v="Daniel Wilson"/>
        <s v="Jennifer Martinez"/>
        <s v="Michael Smith"/>
        <s v="Jessica Johnson"/>
        <s v="David Brown"/>
        <s v="Sarah Garcia"/>
        <s v="Matthew Hernandez"/>
        <s v="Emily Rodriguez"/>
        <s v="Daniel Davis"/>
        <s v="Jennifer Smith"/>
        <s v="Sarah Johnson"/>
        <s v="Matthew Garcia"/>
        <s v="Daniel Hernandez"/>
        <s v="Michael Martinez"/>
        <s v="Jessica Wilson"/>
        <s v="David Rodriguez"/>
        <s v="Sarah Gonzalez"/>
        <s v="Matthew Smith"/>
        <s v="Emily Johnson"/>
        <s v="Daniel Brown"/>
        <s v="Jennifer Hernandez"/>
        <s v="Michael Davis"/>
        <s v="Jessica Smith"/>
        <s v="David Martinez"/>
      </sharedItems>
    </cacheField>
    <cacheField name="Ship Date" numFmtId="14">
      <sharedItems containsSemiMixedTypes="0" containsNonDate="0" containsDate="1" containsString="0" minDate="2024-01-03T00:00:00" maxDate="2024-02-09T00:00:00"/>
    </cacheField>
    <cacheField name="Retail Price (USD)" numFmtId="0">
      <sharedItems containsSemiMixedTypes="0" containsString="0" containsNumber="1" minValue="19.989999999999998" maxValue="199.99"/>
    </cacheField>
    <cacheField name="Order Quantity" numFmtId="0">
      <sharedItems containsSemiMixedTypes="0" containsString="0" containsNumber="1" containsInteger="1" minValue="1" maxValue="5"/>
    </cacheField>
    <cacheField name="Tax (USD)" numFmtId="0">
      <sharedItems containsSemiMixedTypes="0" containsString="0" containsNumber="1" minValue="2.9990000000000001" maxValue="29.997"/>
    </cacheField>
    <cacheField name="Total (USD)" numFmtId="0">
      <sharedItems containsSemiMixedTypes="0" containsString="0" containsNumber="1" minValue="32.988999999999997" maxValue="329.966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x v="0"/>
    <d v="2024-01-03T00:00:00"/>
    <n v="49.99"/>
    <n v="2"/>
    <n v="9.9980000000000011"/>
    <n v="109.97800000000001"/>
  </r>
  <r>
    <x v="1"/>
    <x v="0"/>
    <x v="1"/>
    <d v="2024-01-04T00:00:00"/>
    <n v="29.99"/>
    <n v="1"/>
    <n v="2.9990000000000001"/>
    <n v="32.988999999999997"/>
  </r>
  <r>
    <x v="2"/>
    <x v="1"/>
    <x v="2"/>
    <d v="2024-01-07T00:00:00"/>
    <n v="99.99"/>
    <n v="3"/>
    <n v="29.997"/>
    <n v="329.96699999999998"/>
  </r>
  <r>
    <x v="3"/>
    <x v="1"/>
    <x v="3"/>
    <d v="2024-01-03T00:00:00"/>
    <n v="19.989999999999998"/>
    <n v="4"/>
    <n v="7.9959999999999996"/>
    <n v="87.955999999999989"/>
  </r>
  <r>
    <x v="4"/>
    <x v="2"/>
    <x v="4"/>
    <d v="2024-01-08T00:00:00"/>
    <n v="149.99"/>
    <n v="1"/>
    <n v="14.999000000000002"/>
    <n v="164.989"/>
  </r>
  <r>
    <x v="5"/>
    <x v="2"/>
    <x v="5"/>
    <d v="2024-01-06T00:00:00"/>
    <n v="79.989999999999995"/>
    <n v="2"/>
    <n v="15.997999999999999"/>
    <n v="175.97799999999998"/>
  </r>
  <r>
    <x v="6"/>
    <x v="3"/>
    <x v="6"/>
    <d v="2024-01-06T00:00:00"/>
    <n v="39.99"/>
    <n v="3"/>
    <n v="11.997"/>
    <n v="131.96699999999998"/>
  </r>
  <r>
    <x v="7"/>
    <x v="3"/>
    <x v="7"/>
    <d v="2024-01-09T00:00:00"/>
    <n v="69.989999999999995"/>
    <n v="2"/>
    <n v="13.997999999999999"/>
    <n v="153.97799999999998"/>
  </r>
  <r>
    <x v="8"/>
    <x v="4"/>
    <x v="8"/>
    <d v="2024-01-06T00:00:00"/>
    <n v="89.99"/>
    <n v="1"/>
    <n v="8.9990000000000006"/>
    <n v="98.98899999999999"/>
  </r>
  <r>
    <x v="9"/>
    <x v="4"/>
    <x v="9"/>
    <d v="2024-01-08T00:00:00"/>
    <n v="199.99"/>
    <n v="1"/>
    <n v="19.999000000000002"/>
    <n v="219.989"/>
  </r>
  <r>
    <x v="10"/>
    <x v="5"/>
    <x v="10"/>
    <d v="2024-01-07T00:00:00"/>
    <n v="29.99"/>
    <n v="5"/>
    <n v="14.994999999999999"/>
    <n v="164.94499999999999"/>
  </r>
  <r>
    <x v="11"/>
    <x v="5"/>
    <x v="11"/>
    <d v="2024-01-08T00:00:00"/>
    <n v="79.989999999999995"/>
    <n v="2"/>
    <n v="15.997999999999999"/>
    <n v="175.97799999999998"/>
  </r>
  <r>
    <x v="12"/>
    <x v="6"/>
    <x v="12"/>
    <d v="2024-01-09T00:00:00"/>
    <n v="49.99"/>
    <n v="3"/>
    <n v="14.997"/>
    <n v="164.96699999999998"/>
  </r>
  <r>
    <x v="13"/>
    <x v="6"/>
    <x v="13"/>
    <d v="2024-01-12T00:00:00"/>
    <n v="129.99"/>
    <n v="1"/>
    <n v="12.999000000000002"/>
    <n v="142.989"/>
  </r>
  <r>
    <x v="14"/>
    <x v="7"/>
    <x v="14"/>
    <d v="2024-01-13T00:00:00"/>
    <n v="19.989999999999998"/>
    <n v="4"/>
    <n v="7.9959999999999996"/>
    <n v="87.955999999999989"/>
  </r>
  <r>
    <x v="15"/>
    <x v="7"/>
    <x v="15"/>
    <d v="2024-01-12T00:00:00"/>
    <n v="149.99"/>
    <n v="1"/>
    <n v="14.999000000000002"/>
    <n v="164.989"/>
  </r>
  <r>
    <x v="16"/>
    <x v="8"/>
    <x v="16"/>
    <d v="2024-01-14T00:00:00"/>
    <n v="69.989999999999995"/>
    <n v="2"/>
    <n v="13.997999999999999"/>
    <n v="153.97799999999998"/>
  </r>
  <r>
    <x v="17"/>
    <x v="8"/>
    <x v="17"/>
    <d v="2024-01-12T00:00:00"/>
    <n v="39.99"/>
    <n v="3"/>
    <n v="11.997"/>
    <n v="131.96699999999998"/>
  </r>
  <r>
    <x v="18"/>
    <x v="9"/>
    <x v="18"/>
    <d v="2024-01-11T00:00:00"/>
    <n v="199.99"/>
    <n v="1"/>
    <n v="19.999000000000002"/>
    <n v="219.989"/>
  </r>
  <r>
    <x v="19"/>
    <x v="9"/>
    <x v="19"/>
    <d v="2024-01-14T00:00:00"/>
    <n v="29.99"/>
    <n v="5"/>
    <n v="14.994999999999999"/>
    <n v="164.94499999999999"/>
  </r>
  <r>
    <x v="20"/>
    <x v="10"/>
    <x v="20"/>
    <d v="2024-01-14T00:00:00"/>
    <n v="79.989999999999995"/>
    <n v="2"/>
    <n v="15.997999999999999"/>
    <n v="175.97799999999998"/>
  </r>
  <r>
    <x v="21"/>
    <x v="10"/>
    <x v="21"/>
    <d v="2024-01-15T00:00:00"/>
    <n v="49.99"/>
    <n v="3"/>
    <n v="14.997"/>
    <n v="164.96699999999998"/>
  </r>
  <r>
    <x v="22"/>
    <x v="11"/>
    <x v="22"/>
    <d v="2024-01-17T00:00:00"/>
    <n v="129.99"/>
    <n v="1"/>
    <n v="12.999000000000002"/>
    <n v="142.989"/>
  </r>
  <r>
    <x v="23"/>
    <x v="11"/>
    <x v="23"/>
    <d v="2024-01-17T00:00:00"/>
    <n v="19.989999999999998"/>
    <n v="4"/>
    <n v="7.9959999999999996"/>
    <n v="87.955999999999989"/>
  </r>
  <r>
    <x v="24"/>
    <x v="12"/>
    <x v="4"/>
    <d v="2024-01-17T00:00:00"/>
    <n v="149.99"/>
    <n v="1"/>
    <n v="14.999000000000002"/>
    <n v="164.989"/>
  </r>
  <r>
    <x v="25"/>
    <x v="12"/>
    <x v="24"/>
    <d v="2024-01-14T00:00:00"/>
    <n v="69.989999999999995"/>
    <n v="2"/>
    <n v="13.997999999999999"/>
    <n v="153.97799999999998"/>
  </r>
  <r>
    <x v="26"/>
    <x v="13"/>
    <x v="25"/>
    <d v="2024-01-18T00:00:00"/>
    <n v="39.99"/>
    <n v="3"/>
    <n v="11.997"/>
    <n v="131.96699999999998"/>
  </r>
  <r>
    <x v="27"/>
    <x v="13"/>
    <x v="26"/>
    <d v="2024-01-19T00:00:00"/>
    <n v="199.99"/>
    <n v="1"/>
    <n v="19.999000000000002"/>
    <n v="219.989"/>
  </r>
  <r>
    <x v="28"/>
    <x v="14"/>
    <x v="27"/>
    <d v="2024-01-19T00:00:00"/>
    <n v="29.99"/>
    <n v="5"/>
    <n v="14.994999999999999"/>
    <n v="164.94499999999999"/>
  </r>
  <r>
    <x v="29"/>
    <x v="14"/>
    <x v="28"/>
    <d v="2024-01-19T00:00:00"/>
    <n v="79.989999999999995"/>
    <n v="2"/>
    <n v="15.997999999999999"/>
    <n v="175.97799999999998"/>
  </r>
  <r>
    <x v="30"/>
    <x v="15"/>
    <x v="29"/>
    <d v="2024-01-19T00:00:00"/>
    <n v="49.99"/>
    <n v="3"/>
    <n v="14.997"/>
    <n v="164.96699999999998"/>
  </r>
  <r>
    <x v="31"/>
    <x v="15"/>
    <x v="30"/>
    <d v="2024-01-17T00:00:00"/>
    <n v="129.99"/>
    <n v="1"/>
    <n v="12.999000000000002"/>
    <n v="142.989"/>
  </r>
  <r>
    <x v="32"/>
    <x v="16"/>
    <x v="31"/>
    <d v="2024-01-19T00:00:00"/>
    <n v="19.989999999999998"/>
    <n v="4"/>
    <n v="7.9959999999999996"/>
    <n v="87.955999999999989"/>
  </r>
  <r>
    <x v="33"/>
    <x v="16"/>
    <x v="32"/>
    <d v="2024-01-19T00:00:00"/>
    <n v="149.99"/>
    <n v="1"/>
    <n v="14.999000000000002"/>
    <n v="164.989"/>
  </r>
  <r>
    <x v="34"/>
    <x v="17"/>
    <x v="33"/>
    <d v="2024-01-23T00:00:00"/>
    <n v="69.989999999999995"/>
    <n v="2"/>
    <n v="13.997999999999999"/>
    <n v="153.97799999999998"/>
  </r>
  <r>
    <x v="35"/>
    <x v="17"/>
    <x v="34"/>
    <d v="2024-01-19T00:00:00"/>
    <n v="39.99"/>
    <n v="3"/>
    <n v="11.997"/>
    <n v="131.96699999999998"/>
  </r>
  <r>
    <x v="36"/>
    <x v="18"/>
    <x v="35"/>
    <d v="2024-01-20T00:00:00"/>
    <n v="199.99"/>
    <n v="1"/>
    <n v="19.999000000000002"/>
    <n v="219.989"/>
  </r>
  <r>
    <x v="37"/>
    <x v="18"/>
    <x v="36"/>
    <d v="2024-01-22T00:00:00"/>
    <n v="29.99"/>
    <n v="5"/>
    <n v="14.994999999999999"/>
    <n v="164.94499999999999"/>
  </r>
  <r>
    <x v="38"/>
    <x v="19"/>
    <x v="2"/>
    <d v="2024-01-24T00:00:00"/>
    <n v="79.989999999999995"/>
    <n v="2"/>
    <n v="15.997999999999999"/>
    <n v="175.97799999999998"/>
  </r>
  <r>
    <x v="39"/>
    <x v="19"/>
    <x v="23"/>
    <d v="2024-01-21T00:00:00"/>
    <n v="49.99"/>
    <n v="3"/>
    <n v="14.997"/>
    <n v="164.96699999999998"/>
  </r>
  <r>
    <x v="40"/>
    <x v="20"/>
    <x v="4"/>
    <d v="2024-01-26T00:00:00"/>
    <n v="129.99"/>
    <n v="1"/>
    <n v="12.999000000000002"/>
    <n v="142.989"/>
  </r>
  <r>
    <x v="41"/>
    <x v="20"/>
    <x v="37"/>
    <d v="2024-01-23T00:00:00"/>
    <n v="19.989999999999998"/>
    <n v="4"/>
    <n v="7.9959999999999996"/>
    <n v="87.955999999999989"/>
  </r>
  <r>
    <x v="42"/>
    <x v="21"/>
    <x v="38"/>
    <d v="2024-01-25T00:00:00"/>
    <n v="149.99"/>
    <n v="1"/>
    <n v="14.999000000000002"/>
    <n v="164.989"/>
  </r>
  <r>
    <x v="43"/>
    <x v="21"/>
    <x v="3"/>
    <d v="2024-01-25T00:00:00"/>
    <n v="69.989999999999995"/>
    <n v="2"/>
    <n v="13.997999999999999"/>
    <n v="153.97799999999998"/>
  </r>
  <r>
    <x v="44"/>
    <x v="22"/>
    <x v="39"/>
    <d v="2024-01-27T00:00:00"/>
    <n v="39.99"/>
    <n v="3"/>
    <n v="11.997"/>
    <n v="131.96699999999998"/>
  </r>
  <r>
    <x v="45"/>
    <x v="22"/>
    <x v="19"/>
    <d v="2024-01-26T00:00:00"/>
    <n v="199.99"/>
    <n v="1"/>
    <n v="19.999000000000002"/>
    <n v="219.989"/>
  </r>
  <r>
    <x v="46"/>
    <x v="23"/>
    <x v="40"/>
    <d v="2024-01-25T00:00:00"/>
    <n v="29.99"/>
    <n v="5"/>
    <n v="14.994999999999999"/>
    <n v="164.94499999999999"/>
  </r>
  <r>
    <x v="47"/>
    <x v="23"/>
    <x v="41"/>
    <d v="2024-01-26T00:00:00"/>
    <n v="79.989999999999995"/>
    <n v="2"/>
    <n v="15.997999999999999"/>
    <n v="175.97799999999998"/>
  </r>
  <r>
    <x v="48"/>
    <x v="24"/>
    <x v="42"/>
    <d v="2024-01-30T00:00:00"/>
    <n v="49.99"/>
    <n v="3"/>
    <n v="14.997"/>
    <n v="164.96699999999998"/>
  </r>
  <r>
    <x v="49"/>
    <x v="24"/>
    <x v="43"/>
    <d v="2024-01-27T00:00:00"/>
    <n v="129.99"/>
    <n v="1"/>
    <n v="12.999000000000002"/>
    <n v="142.989"/>
  </r>
  <r>
    <x v="50"/>
    <x v="25"/>
    <x v="44"/>
    <d v="2024-01-29T00:00:00"/>
    <n v="19.989999999999998"/>
    <n v="4"/>
    <n v="7.9959999999999996"/>
    <n v="87.955999999999989"/>
  </r>
  <r>
    <x v="51"/>
    <x v="25"/>
    <x v="45"/>
    <d v="2024-01-28T00:00:00"/>
    <n v="149.99"/>
    <n v="1"/>
    <n v="14.999000000000002"/>
    <n v="164.989"/>
  </r>
  <r>
    <x v="52"/>
    <x v="26"/>
    <x v="46"/>
    <d v="2024-01-31T00:00:00"/>
    <n v="69.989999999999995"/>
    <n v="2"/>
    <n v="13.997999999999999"/>
    <n v="153.97799999999998"/>
  </r>
  <r>
    <x v="53"/>
    <x v="26"/>
    <x v="47"/>
    <d v="2024-01-31T00:00:00"/>
    <n v="39.99"/>
    <n v="3"/>
    <n v="11.997"/>
    <n v="131.96699999999998"/>
  </r>
  <r>
    <x v="54"/>
    <x v="27"/>
    <x v="48"/>
    <d v="2024-01-29T00:00:00"/>
    <n v="199.99"/>
    <n v="1"/>
    <n v="19.999000000000002"/>
    <n v="219.989"/>
  </r>
  <r>
    <x v="55"/>
    <x v="27"/>
    <x v="49"/>
    <d v="2024-01-29T00:00:00"/>
    <n v="29.99"/>
    <n v="5"/>
    <n v="14.994999999999999"/>
    <n v="164.94499999999999"/>
  </r>
  <r>
    <x v="56"/>
    <x v="28"/>
    <x v="50"/>
    <d v="2024-01-30T00:00:00"/>
    <n v="79.989999999999995"/>
    <n v="2"/>
    <n v="15.997999999999999"/>
    <n v="175.97799999999998"/>
  </r>
  <r>
    <x v="57"/>
    <x v="28"/>
    <x v="37"/>
    <d v="2024-01-31T00:00:00"/>
    <n v="49.99"/>
    <n v="3"/>
    <n v="14.997"/>
    <n v="164.96699999999998"/>
  </r>
  <r>
    <x v="58"/>
    <x v="29"/>
    <x v="38"/>
    <d v="2024-01-31T00:00:00"/>
    <n v="129.99"/>
    <n v="1"/>
    <n v="12.999000000000002"/>
    <n v="142.989"/>
  </r>
  <r>
    <x v="59"/>
    <x v="29"/>
    <x v="3"/>
    <d v="2024-02-01T00:00:00"/>
    <n v="19.989999999999998"/>
    <n v="4"/>
    <n v="7.9959999999999996"/>
    <n v="87.955999999999989"/>
  </r>
  <r>
    <x v="60"/>
    <x v="30"/>
    <x v="39"/>
    <d v="2024-02-02T00:00:00"/>
    <n v="149.99"/>
    <n v="1"/>
    <n v="14.999000000000002"/>
    <n v="164.989"/>
  </r>
  <r>
    <x v="61"/>
    <x v="30"/>
    <x v="19"/>
    <d v="2024-02-04T00:00:00"/>
    <n v="69.989999999999995"/>
    <n v="2"/>
    <n v="13.997999999999999"/>
    <n v="153.97799999999998"/>
  </r>
  <r>
    <x v="62"/>
    <x v="31"/>
    <x v="40"/>
    <d v="2024-02-02T00:00:00"/>
    <n v="39.99"/>
    <n v="3"/>
    <n v="11.997"/>
    <n v="131.96699999999998"/>
  </r>
  <r>
    <x v="63"/>
    <x v="31"/>
    <x v="41"/>
    <d v="2024-02-05T00:00:00"/>
    <n v="199.99"/>
    <n v="1"/>
    <n v="19.999000000000002"/>
    <n v="219.989"/>
  </r>
  <r>
    <x v="64"/>
    <x v="31"/>
    <x v="42"/>
    <d v="2024-02-03T00:00:00"/>
    <n v="29.99"/>
    <n v="5"/>
    <n v="14.994999999999999"/>
    <n v="164.94499999999999"/>
  </r>
  <r>
    <x v="65"/>
    <x v="32"/>
    <x v="43"/>
    <d v="2024-02-06T00:00:00"/>
    <n v="79.989999999999995"/>
    <n v="2"/>
    <n v="15.997999999999999"/>
    <n v="175.97799999999998"/>
  </r>
  <r>
    <x v="66"/>
    <x v="33"/>
    <x v="44"/>
    <d v="2024-02-06T00:00:00"/>
    <n v="49.99"/>
    <n v="3"/>
    <n v="14.997"/>
    <n v="164.96699999999998"/>
  </r>
  <r>
    <x v="67"/>
    <x v="34"/>
    <x v="45"/>
    <d v="2024-02-05T00:00:00"/>
    <n v="129.99"/>
    <n v="1"/>
    <n v="12.999000000000002"/>
    <n v="142.989"/>
  </r>
  <r>
    <x v="68"/>
    <x v="34"/>
    <x v="46"/>
    <d v="2024-02-08T00:00:00"/>
    <n v="19.989999999999998"/>
    <n v="4"/>
    <n v="7.9959999999999996"/>
    <n v="87.955999999999989"/>
  </r>
  <r>
    <x v="69"/>
    <x v="34"/>
    <x v="47"/>
    <d v="2024-02-07T00:00:00"/>
    <n v="149.99"/>
    <n v="1"/>
    <n v="14.999000000000002"/>
    <n v="164.9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81175-E8C5-47D4-B08F-35C32E8FD0B3}" name="PivotTable1" cacheId="56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39" firstHeaderRow="1" firstDataRow="1" firstDataCol="1"/>
  <pivotFields count="8">
    <pivotField compact="0" outline="0" showAll="0"/>
    <pivotField axis="axisRow" compact="0" numFmtId="14" outline="0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Sum of Total (USD)2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43462-72AA-4CB0-99AA-D85A006BBC99}" name="PivotTable2" cacheId="56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55" firstHeaderRow="1" firstDataRow="1" firstDataCol="1"/>
  <pivotFields count="8">
    <pivotField compact="0" outline="0" showAll="0"/>
    <pivotField compact="0" numFmtId="14" outline="0" showAll="0"/>
    <pivotField axis="axisRow" compact="0" outline="0" showAll="0" sortType="descending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52">
    <i>
      <x v="20"/>
    </i>
    <i>
      <x v="41"/>
    </i>
    <i>
      <x v="13"/>
    </i>
    <i>
      <x v="28"/>
    </i>
    <i>
      <x v="12"/>
    </i>
    <i>
      <x v="14"/>
    </i>
    <i>
      <x v="47"/>
    </i>
    <i>
      <x v="33"/>
    </i>
    <i>
      <x v="16"/>
    </i>
    <i>
      <x v="6"/>
    </i>
    <i>
      <x v="21"/>
    </i>
    <i>
      <x v="42"/>
    </i>
    <i>
      <x v="36"/>
    </i>
    <i>
      <x v="48"/>
    </i>
    <i>
      <x v="26"/>
    </i>
    <i>
      <x v="4"/>
    </i>
    <i>
      <x v="15"/>
    </i>
    <i>
      <x v="39"/>
    </i>
    <i>
      <x v="30"/>
    </i>
    <i>
      <x v="8"/>
    </i>
    <i>
      <x v="5"/>
    </i>
    <i>
      <x v="38"/>
    </i>
    <i>
      <x v="11"/>
    </i>
    <i>
      <x v="40"/>
    </i>
    <i>
      <x v="32"/>
    </i>
    <i>
      <x v="22"/>
    </i>
    <i>
      <x v="46"/>
    </i>
    <i>
      <x/>
    </i>
    <i>
      <x v="1"/>
    </i>
    <i>
      <x v="44"/>
    </i>
    <i>
      <x v="43"/>
    </i>
    <i>
      <x v="23"/>
    </i>
    <i>
      <x v="9"/>
    </i>
    <i>
      <x v="50"/>
    </i>
    <i>
      <x v="27"/>
    </i>
    <i>
      <x v="49"/>
    </i>
    <i>
      <x v="34"/>
    </i>
    <i>
      <x v="45"/>
    </i>
    <i>
      <x v="18"/>
    </i>
    <i>
      <x v="24"/>
    </i>
    <i>
      <x v="2"/>
    </i>
    <i>
      <x v="25"/>
    </i>
    <i>
      <x v="7"/>
    </i>
    <i>
      <x v="31"/>
    </i>
    <i>
      <x v="17"/>
    </i>
    <i>
      <x v="35"/>
    </i>
    <i>
      <x v="29"/>
    </i>
    <i>
      <x v="3"/>
    </i>
    <i>
      <x v="10"/>
    </i>
    <i>
      <x v="37"/>
    </i>
    <i>
      <x v="19"/>
    </i>
    <i t="grand">
      <x/>
    </i>
  </rowItems>
  <colItems count="1">
    <i/>
  </colItems>
  <dataFields count="1">
    <dataField name="Sum of Total (USD)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5488D-2504-44FC-A15C-9EFDA354A3DA}" name="PivotTable3" cacheId="56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09" firstHeaderRow="1" firstDataRow="1" firstDataCol="2"/>
  <pivotFields count="8">
    <pivotField axis="axisRow" compact="0" outline="0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axis="axisRow" compact="0" numFmtId="14" outline="0" showAll="0" sortType="ascending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1"/>
    <field x="0"/>
  </rowFields>
  <rowItems count="106">
    <i>
      <x/>
      <x/>
    </i>
    <i r="1">
      <x v="1"/>
    </i>
    <i t="default">
      <x/>
    </i>
    <i>
      <x v="1"/>
      <x v="2"/>
    </i>
    <i r="1">
      <x v="3"/>
    </i>
    <i t="default">
      <x v="1"/>
    </i>
    <i>
      <x v="2"/>
      <x v="4"/>
    </i>
    <i r="1">
      <x v="5"/>
    </i>
    <i t="default">
      <x v="2"/>
    </i>
    <i>
      <x v="3"/>
      <x v="6"/>
    </i>
    <i r="1">
      <x v="7"/>
    </i>
    <i t="default">
      <x v="3"/>
    </i>
    <i>
      <x v="4"/>
      <x v="8"/>
    </i>
    <i r="1">
      <x v="9"/>
    </i>
    <i t="default">
      <x v="4"/>
    </i>
    <i>
      <x v="5"/>
      <x v="10"/>
    </i>
    <i r="1">
      <x v="11"/>
    </i>
    <i t="default">
      <x v="5"/>
    </i>
    <i>
      <x v="6"/>
      <x v="12"/>
    </i>
    <i r="1">
      <x v="13"/>
    </i>
    <i t="default">
      <x v="6"/>
    </i>
    <i>
      <x v="7"/>
      <x v="14"/>
    </i>
    <i r="1">
      <x v="15"/>
    </i>
    <i t="default">
      <x v="7"/>
    </i>
    <i>
      <x v="8"/>
      <x v="16"/>
    </i>
    <i r="1">
      <x v="17"/>
    </i>
    <i t="default">
      <x v="8"/>
    </i>
    <i>
      <x v="9"/>
      <x v="18"/>
    </i>
    <i r="1">
      <x v="19"/>
    </i>
    <i t="default">
      <x v="9"/>
    </i>
    <i>
      <x v="10"/>
      <x v="20"/>
    </i>
    <i r="1">
      <x v="21"/>
    </i>
    <i t="default">
      <x v="10"/>
    </i>
    <i>
      <x v="11"/>
      <x v="22"/>
    </i>
    <i r="1">
      <x v="23"/>
    </i>
    <i t="default">
      <x v="11"/>
    </i>
    <i>
      <x v="12"/>
      <x v="24"/>
    </i>
    <i r="1">
      <x v="25"/>
    </i>
    <i t="default">
      <x v="12"/>
    </i>
    <i>
      <x v="13"/>
      <x v="26"/>
    </i>
    <i r="1">
      <x v="27"/>
    </i>
    <i t="default">
      <x v="13"/>
    </i>
    <i>
      <x v="14"/>
      <x v="28"/>
    </i>
    <i r="1">
      <x v="29"/>
    </i>
    <i t="default">
      <x v="14"/>
    </i>
    <i>
      <x v="15"/>
      <x v="30"/>
    </i>
    <i r="1">
      <x v="31"/>
    </i>
    <i t="default">
      <x v="15"/>
    </i>
    <i>
      <x v="16"/>
      <x v="32"/>
    </i>
    <i r="1">
      <x v="33"/>
    </i>
    <i t="default">
      <x v="16"/>
    </i>
    <i>
      <x v="17"/>
      <x v="34"/>
    </i>
    <i r="1">
      <x v="35"/>
    </i>
    <i t="default">
      <x v="17"/>
    </i>
    <i>
      <x v="18"/>
      <x v="36"/>
    </i>
    <i r="1">
      <x v="37"/>
    </i>
    <i t="default">
      <x v="18"/>
    </i>
    <i>
      <x v="19"/>
      <x v="38"/>
    </i>
    <i r="1">
      <x v="39"/>
    </i>
    <i t="default">
      <x v="19"/>
    </i>
    <i>
      <x v="20"/>
      <x v="40"/>
    </i>
    <i r="1">
      <x v="41"/>
    </i>
    <i t="default">
      <x v="20"/>
    </i>
    <i>
      <x v="21"/>
      <x v="42"/>
    </i>
    <i r="1">
      <x v="43"/>
    </i>
    <i t="default">
      <x v="21"/>
    </i>
    <i>
      <x v="22"/>
      <x v="44"/>
    </i>
    <i r="1">
      <x v="45"/>
    </i>
    <i t="default">
      <x v="22"/>
    </i>
    <i>
      <x v="23"/>
      <x v="46"/>
    </i>
    <i r="1">
      <x v="47"/>
    </i>
    <i t="default">
      <x v="23"/>
    </i>
    <i>
      <x v="24"/>
      <x v="48"/>
    </i>
    <i r="1">
      <x v="49"/>
    </i>
    <i t="default">
      <x v="24"/>
    </i>
    <i>
      <x v="25"/>
      <x v="50"/>
    </i>
    <i r="1">
      <x v="51"/>
    </i>
    <i t="default">
      <x v="25"/>
    </i>
    <i>
      <x v="26"/>
      <x v="52"/>
    </i>
    <i r="1">
      <x v="53"/>
    </i>
    <i t="default">
      <x v="26"/>
    </i>
    <i>
      <x v="27"/>
      <x v="54"/>
    </i>
    <i r="1">
      <x v="55"/>
    </i>
    <i t="default">
      <x v="27"/>
    </i>
    <i>
      <x v="28"/>
      <x v="56"/>
    </i>
    <i r="1">
      <x v="57"/>
    </i>
    <i t="default">
      <x v="28"/>
    </i>
    <i>
      <x v="29"/>
      <x v="58"/>
    </i>
    <i r="1">
      <x v="59"/>
    </i>
    <i t="default">
      <x v="29"/>
    </i>
    <i>
      <x v="30"/>
      <x v="60"/>
    </i>
    <i r="1">
      <x v="61"/>
    </i>
    <i t="default">
      <x v="30"/>
    </i>
    <i>
      <x v="31"/>
      <x v="62"/>
    </i>
    <i r="1">
      <x v="63"/>
    </i>
    <i r="1">
      <x v="64"/>
    </i>
    <i t="default">
      <x v="31"/>
    </i>
    <i>
      <x v="32"/>
      <x v="65"/>
    </i>
    <i t="default">
      <x v="32"/>
    </i>
    <i>
      <x v="33"/>
      <x v="66"/>
    </i>
    <i t="default">
      <x v="33"/>
    </i>
    <i>
      <x v="34"/>
      <x v="67"/>
    </i>
    <i r="1">
      <x v="68"/>
    </i>
    <i r="1">
      <x v="69"/>
    </i>
    <i t="default">
      <x v="34"/>
    </i>
    <i t="grand">
      <x/>
    </i>
  </rowItems>
  <colItems count="1">
    <i/>
  </colItems>
  <dataFields count="1">
    <dataField name="Sum of Order Quantity" fld="5" baseField="0" baseItem="0"/>
  </dataFields>
  <chartFormats count="7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5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5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6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6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7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" count="1" selected="0">
            <x v="7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8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" count="1" selected="0">
            <x v="8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" count="1" selected="0">
            <x v="9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9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10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10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1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" count="1" selected="0">
            <x v="1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" count="1" selected="0">
            <x v="12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" count="1" selected="0">
            <x v="12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" count="1" selected="0">
            <x v="13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13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" count="1" selected="0">
            <x v="14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" count="1" selected="0">
            <x v="14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" count="1" selected="0">
            <x v="15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" count="1" selected="0">
            <x v="15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" count="1" selected="0">
            <x v="16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" count="1" selected="0">
            <x v="16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" count="1" selected="0">
            <x v="17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17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1" count="1" selected="0">
            <x v="18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1" count="1" selected="0">
            <x v="18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1" count="1" selected="0">
            <x v="19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1" count="1" selected="0">
            <x v="19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1" count="1" selected="0">
            <x v="20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0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1" count="1" selected="0">
            <x v="21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1" count="1" selected="0">
            <x v="21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1" count="1" selected="0">
            <x v="22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1" count="1" selected="0">
            <x v="22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1" count="1" selected="0">
            <x v="23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1" count="1" selected="0">
            <x v="23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1" count="1" selected="0">
            <x v="24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1" count="1" selected="0">
            <x v="24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1" count="1" selected="0">
            <x v="25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51"/>
          </reference>
          <reference field="1" count="1" selected="0">
            <x v="25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52"/>
          </reference>
          <reference field="1" count="1" selected="0">
            <x v="26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53"/>
          </reference>
          <reference field="1" count="1" selected="0">
            <x v="26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4"/>
          </reference>
          <reference field="1" count="1" selected="0">
            <x v="27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5"/>
          </reference>
          <reference field="1" count="1" selected="0">
            <x v="27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56"/>
          </reference>
          <reference field="1" count="1" selected="0">
            <x v="28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57"/>
          </reference>
          <reference field="1" count="1" selected="0">
            <x v="28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58"/>
          </reference>
          <reference field="1" count="1" selected="0">
            <x v="29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59"/>
          </reference>
          <reference field="1" count="1" selected="0">
            <x v="29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60"/>
          </reference>
          <reference field="1" count="1" selected="0">
            <x v="30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61"/>
          </reference>
          <reference field="1" count="1" selected="0">
            <x v="30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62"/>
          </reference>
          <reference field="1" count="1" selected="0">
            <x v="31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63"/>
          </reference>
          <reference field="1" count="1" selected="0">
            <x v="31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64"/>
          </reference>
          <reference field="1" count="1" selected="0">
            <x v="31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65"/>
          </reference>
          <reference field="1" count="1" selected="0">
            <x v="32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66"/>
          </reference>
          <reference field="1" count="1" selected="0">
            <x v="33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67"/>
          </reference>
          <reference field="1" count="1" selected="0">
            <x v="34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68"/>
          </reference>
          <reference field="1" count="1" selected="0">
            <x v="34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69"/>
          </reference>
          <reference field="1" count="1" selected="0">
            <x v="3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7F609-E0A8-48E2-A84C-4A9D3E3E8337}" name="Table1" displayName="Table1" ref="B8:I78" totalsRowShown="0" headerRowDxfId="10" dataDxfId="9" tableBorderDxfId="8">
  <autoFilter ref="B8:I78" xr:uid="{4337F609-E0A8-48E2-A84C-4A9D3E3E8337}"/>
  <tableColumns count="8">
    <tableColumn id="1" xr3:uid="{DC3F06DC-E593-4F4C-833A-0123268FABE4}" name="Order No" dataDxfId="7"/>
    <tableColumn id="2" xr3:uid="{CBBD7E71-6FB9-4FD3-B972-701963CA742A}" name="Order Date" dataDxfId="6"/>
    <tableColumn id="3" xr3:uid="{65D1D635-AB89-4405-A1B8-763E268F8D90}" name="Customer Name" dataDxfId="5"/>
    <tableColumn id="4" xr3:uid="{87471692-91CC-4BBD-9AA2-51DEAF08CFDB}" name="Ship Date" dataDxfId="4"/>
    <tableColumn id="5" xr3:uid="{78F22C11-0AAD-4235-9B0C-3676589BE89B}" name="Retail Price (USD)" dataDxfId="3"/>
    <tableColumn id="6" xr3:uid="{B8A6247E-0377-49FB-B4DD-D1B4AAE08D9A}" name="Order Quantity" dataDxfId="2"/>
    <tableColumn id="7" xr3:uid="{95D2CA48-C3B5-4F75-BFF0-1E05E13C704F}" name="Tax (USD)" dataDxfId="1">
      <calculatedColumnFormula>F9*G9*$I$6</calculatedColumnFormula>
    </tableColumn>
    <tableColumn id="8" xr3:uid="{7125F5C0-DD03-4234-A88B-72FEC1F80443}" name="Total (USD)" dataDxfId="0">
      <calculatedColumnFormula>F9*G9+H9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EA75-D6B0-4D87-9208-4D3B3E43261B}">
  <dimension ref="A3:K39"/>
  <sheetViews>
    <sheetView workbookViewId="0">
      <selection activeCell="A4" sqref="A4"/>
    </sheetView>
  </sheetViews>
  <sheetFormatPr defaultRowHeight="15"/>
  <cols>
    <col min="1" max="1" width="13.7109375" bestFit="1" customWidth="1"/>
    <col min="2" max="3" width="18.42578125" bestFit="1" customWidth="1"/>
  </cols>
  <sheetData>
    <row r="3" spans="1:11">
      <c r="A3" s="18" t="s">
        <v>0</v>
      </c>
      <c r="B3" t="s">
        <v>1</v>
      </c>
    </row>
    <row r="4" spans="1:11">
      <c r="A4" s="19">
        <v>45292</v>
      </c>
      <c r="B4" s="17">
        <v>142.96700000000001</v>
      </c>
    </row>
    <row r="5" spans="1:11">
      <c r="A5" s="19">
        <v>45293</v>
      </c>
      <c r="B5" s="17">
        <v>417.923</v>
      </c>
    </row>
    <row r="6" spans="1:11">
      <c r="A6" s="19">
        <v>45294</v>
      </c>
      <c r="B6" s="17">
        <v>340.96699999999998</v>
      </c>
    </row>
    <row r="7" spans="1:11">
      <c r="A7" s="19">
        <v>45295</v>
      </c>
      <c r="B7" s="17">
        <v>285.94499999999994</v>
      </c>
    </row>
    <row r="8" spans="1:11">
      <c r="A8" s="19">
        <v>45296</v>
      </c>
      <c r="B8" s="17">
        <v>318.97800000000001</v>
      </c>
    </row>
    <row r="9" spans="1:11">
      <c r="A9" s="19">
        <v>45297</v>
      </c>
      <c r="B9" s="17">
        <v>340.923</v>
      </c>
    </row>
    <row r="10" spans="1:11">
      <c r="A10" s="19">
        <v>45298</v>
      </c>
      <c r="B10" s="17">
        <v>307.95600000000002</v>
      </c>
      <c r="K10" s="20"/>
    </row>
    <row r="11" spans="1:11">
      <c r="A11" s="19">
        <v>45299</v>
      </c>
      <c r="B11" s="17">
        <v>252.94499999999999</v>
      </c>
    </row>
    <row r="12" spans="1:11">
      <c r="A12" s="19">
        <v>45300</v>
      </c>
      <c r="B12" s="17">
        <v>285.94499999999994</v>
      </c>
    </row>
    <row r="13" spans="1:11">
      <c r="A13" s="19">
        <v>45301</v>
      </c>
      <c r="B13" s="17">
        <v>384.93399999999997</v>
      </c>
    </row>
    <row r="14" spans="1:11">
      <c r="A14" s="19">
        <v>45302</v>
      </c>
      <c r="B14" s="17">
        <v>340.94499999999994</v>
      </c>
    </row>
    <row r="15" spans="1:11">
      <c r="A15" s="19">
        <v>45303</v>
      </c>
      <c r="B15" s="17">
        <v>230.94499999999999</v>
      </c>
    </row>
    <row r="16" spans="1:11">
      <c r="A16" s="19">
        <v>45304</v>
      </c>
      <c r="B16" s="17">
        <v>318.96699999999998</v>
      </c>
    </row>
    <row r="17" spans="1:2">
      <c r="A17" s="19">
        <v>45305</v>
      </c>
      <c r="B17" s="17">
        <v>351.95600000000002</v>
      </c>
    </row>
    <row r="18" spans="1:2">
      <c r="A18" s="19">
        <v>45306</v>
      </c>
      <c r="B18" s="17">
        <v>340.923</v>
      </c>
    </row>
    <row r="19" spans="1:2">
      <c r="A19" s="19">
        <v>45307</v>
      </c>
      <c r="B19" s="17">
        <v>307.95600000000002</v>
      </c>
    </row>
    <row r="20" spans="1:2">
      <c r="A20" s="19">
        <v>45308</v>
      </c>
      <c r="B20" s="17">
        <v>252.94499999999999</v>
      </c>
    </row>
    <row r="21" spans="1:2">
      <c r="A21" s="19">
        <v>45309</v>
      </c>
      <c r="B21" s="17">
        <v>285.94499999999994</v>
      </c>
    </row>
    <row r="22" spans="1:2">
      <c r="A22" s="19">
        <v>45310</v>
      </c>
      <c r="B22" s="17">
        <v>384.93399999999997</v>
      </c>
    </row>
    <row r="23" spans="1:2">
      <c r="A23" s="19">
        <v>45311</v>
      </c>
      <c r="B23" s="17">
        <v>340.94499999999994</v>
      </c>
    </row>
    <row r="24" spans="1:2">
      <c r="A24" s="19">
        <v>45312</v>
      </c>
      <c r="B24" s="17">
        <v>230.94499999999999</v>
      </c>
    </row>
    <row r="25" spans="1:2">
      <c r="A25" s="19">
        <v>45313</v>
      </c>
      <c r="B25" s="17">
        <v>318.96699999999998</v>
      </c>
    </row>
    <row r="26" spans="1:2">
      <c r="A26" s="19">
        <v>45314</v>
      </c>
      <c r="B26" s="17">
        <v>351.95600000000002</v>
      </c>
    </row>
    <row r="27" spans="1:2">
      <c r="A27" s="19">
        <v>45315</v>
      </c>
      <c r="B27" s="17">
        <v>340.923</v>
      </c>
    </row>
    <row r="28" spans="1:2">
      <c r="A28" s="19">
        <v>45316</v>
      </c>
      <c r="B28" s="17">
        <v>307.95600000000002</v>
      </c>
    </row>
    <row r="29" spans="1:2">
      <c r="A29" s="19">
        <v>45317</v>
      </c>
      <c r="B29" s="17">
        <v>252.94499999999999</v>
      </c>
    </row>
    <row r="30" spans="1:2">
      <c r="A30" s="19">
        <v>45318</v>
      </c>
      <c r="B30" s="17">
        <v>285.94499999999994</v>
      </c>
    </row>
    <row r="31" spans="1:2">
      <c r="A31" s="19">
        <v>45319</v>
      </c>
      <c r="B31" s="17">
        <v>384.93399999999997</v>
      </c>
    </row>
    <row r="32" spans="1:2">
      <c r="A32" s="19">
        <v>45320</v>
      </c>
      <c r="B32" s="17">
        <v>340.94499999999994</v>
      </c>
    </row>
    <row r="33" spans="1:2">
      <c r="A33" s="19">
        <v>45321</v>
      </c>
      <c r="B33" s="17">
        <v>230.94499999999999</v>
      </c>
    </row>
    <row r="34" spans="1:2">
      <c r="A34" s="19">
        <v>45322</v>
      </c>
      <c r="B34" s="17">
        <v>318.96699999999998</v>
      </c>
    </row>
    <row r="35" spans="1:2">
      <c r="A35" s="19">
        <v>45323</v>
      </c>
      <c r="B35" s="17">
        <v>516.90100000000007</v>
      </c>
    </row>
    <row r="36" spans="1:2">
      <c r="A36" s="19">
        <v>45324</v>
      </c>
      <c r="B36" s="17">
        <v>175.97799999999998</v>
      </c>
    </row>
    <row r="37" spans="1:2">
      <c r="A37" s="19">
        <v>45325</v>
      </c>
      <c r="B37" s="17">
        <v>164.96699999999998</v>
      </c>
    </row>
    <row r="38" spans="1:2">
      <c r="A38" s="19">
        <v>45326</v>
      </c>
      <c r="B38" s="17">
        <v>395.93399999999997</v>
      </c>
    </row>
    <row r="39" spans="1:2">
      <c r="A39" s="19" t="s">
        <v>2</v>
      </c>
      <c r="B39" s="17">
        <v>10855.151999999996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FDDA-72B0-49C6-BFB9-54CF3F1CA905}">
  <dimension ref="A3:B55"/>
  <sheetViews>
    <sheetView workbookViewId="0">
      <selection activeCell="A4" sqref="A4"/>
    </sheetView>
  </sheetViews>
  <sheetFormatPr defaultRowHeight="15"/>
  <cols>
    <col min="1" max="1" width="19.85546875" bestFit="1" customWidth="1"/>
    <col min="2" max="2" width="17.28515625" bestFit="1" customWidth="1"/>
  </cols>
  <sheetData>
    <row r="3" spans="1:2">
      <c r="A3" s="18" t="s">
        <v>3</v>
      </c>
      <c r="B3" t="s">
        <v>4</v>
      </c>
    </row>
    <row r="4" spans="1:2">
      <c r="A4" t="s">
        <v>5</v>
      </c>
      <c r="B4" s="17">
        <v>538.91199999999992</v>
      </c>
    </row>
    <row r="5" spans="1:2">
      <c r="A5" t="s">
        <v>6</v>
      </c>
      <c r="B5" s="17">
        <v>505.94499999999994</v>
      </c>
    </row>
    <row r="6" spans="1:2">
      <c r="A6" t="s">
        <v>7</v>
      </c>
      <c r="B6" s="17">
        <v>472.96699999999998</v>
      </c>
    </row>
    <row r="7" spans="1:2">
      <c r="A7" t="s">
        <v>8</v>
      </c>
      <c r="B7" s="17">
        <v>395.96699999999998</v>
      </c>
    </row>
    <row r="8" spans="1:2">
      <c r="A8" t="s">
        <v>9</v>
      </c>
      <c r="B8" s="17">
        <v>329.91199999999998</v>
      </c>
    </row>
    <row r="9" spans="1:2">
      <c r="A9" t="s">
        <v>10</v>
      </c>
      <c r="B9" s="17">
        <v>329.89</v>
      </c>
    </row>
    <row r="10" spans="1:2">
      <c r="A10" t="s">
        <v>11</v>
      </c>
      <c r="B10" s="17">
        <v>318.96699999999998</v>
      </c>
    </row>
    <row r="11" spans="1:2">
      <c r="A11" t="s">
        <v>12</v>
      </c>
      <c r="B11" s="17">
        <v>307.97800000000001</v>
      </c>
    </row>
    <row r="12" spans="1:2">
      <c r="A12" t="s">
        <v>13</v>
      </c>
      <c r="B12" s="17">
        <v>307.97800000000001</v>
      </c>
    </row>
    <row r="13" spans="1:2">
      <c r="A13" t="s">
        <v>14</v>
      </c>
      <c r="B13" s="17">
        <v>296.95600000000002</v>
      </c>
    </row>
    <row r="14" spans="1:2">
      <c r="A14" t="s">
        <v>15</v>
      </c>
      <c r="B14" s="17">
        <v>296.95600000000002</v>
      </c>
    </row>
    <row r="15" spans="1:2">
      <c r="A15" t="s">
        <v>16</v>
      </c>
      <c r="B15" s="17">
        <v>296.91199999999998</v>
      </c>
    </row>
    <row r="16" spans="1:2">
      <c r="A16" t="s">
        <v>17</v>
      </c>
      <c r="B16" s="17">
        <v>252.92299999999997</v>
      </c>
    </row>
    <row r="17" spans="1:2">
      <c r="A17" t="s">
        <v>18</v>
      </c>
      <c r="B17" s="17">
        <v>252.92299999999997</v>
      </c>
    </row>
    <row r="18" spans="1:2">
      <c r="A18" t="s">
        <v>19</v>
      </c>
      <c r="B18" s="17">
        <v>252.92299999999997</v>
      </c>
    </row>
    <row r="19" spans="1:2">
      <c r="A19" t="s">
        <v>20</v>
      </c>
      <c r="B19" s="17">
        <v>241.93399999999997</v>
      </c>
    </row>
    <row r="20" spans="1:2">
      <c r="A20" t="s">
        <v>21</v>
      </c>
      <c r="B20" s="17">
        <v>219.989</v>
      </c>
    </row>
    <row r="21" spans="1:2">
      <c r="A21" t="s">
        <v>22</v>
      </c>
      <c r="B21" s="17">
        <v>219.989</v>
      </c>
    </row>
    <row r="22" spans="1:2">
      <c r="A22" t="s">
        <v>23</v>
      </c>
      <c r="B22" s="17">
        <v>219.989</v>
      </c>
    </row>
    <row r="23" spans="1:2">
      <c r="A23" t="s">
        <v>24</v>
      </c>
      <c r="B23" s="17">
        <v>219.989</v>
      </c>
    </row>
    <row r="24" spans="1:2">
      <c r="A24" t="s">
        <v>25</v>
      </c>
      <c r="B24" s="17">
        <v>219.989</v>
      </c>
    </row>
    <row r="25" spans="1:2">
      <c r="A25" t="s">
        <v>26</v>
      </c>
      <c r="B25" s="17">
        <v>175.97799999999998</v>
      </c>
    </row>
    <row r="26" spans="1:2">
      <c r="A26" t="s">
        <v>27</v>
      </c>
      <c r="B26" s="17">
        <v>175.97799999999998</v>
      </c>
    </row>
    <row r="27" spans="1:2">
      <c r="A27" t="s">
        <v>28</v>
      </c>
      <c r="B27" s="17">
        <v>175.97799999999998</v>
      </c>
    </row>
    <row r="28" spans="1:2">
      <c r="A28" t="s">
        <v>29</v>
      </c>
      <c r="B28" s="17">
        <v>175.97799999999998</v>
      </c>
    </row>
    <row r="29" spans="1:2">
      <c r="A29" t="s">
        <v>30</v>
      </c>
      <c r="B29" s="17">
        <v>175.97799999999998</v>
      </c>
    </row>
    <row r="30" spans="1:2">
      <c r="A30" t="s">
        <v>31</v>
      </c>
      <c r="B30" s="17">
        <v>164.989</v>
      </c>
    </row>
    <row r="31" spans="1:2">
      <c r="A31" t="s">
        <v>32</v>
      </c>
      <c r="B31" s="17">
        <v>164.989</v>
      </c>
    </row>
    <row r="32" spans="1:2">
      <c r="A32" t="s">
        <v>33</v>
      </c>
      <c r="B32" s="17">
        <v>164.96699999999998</v>
      </c>
    </row>
    <row r="33" spans="1:2">
      <c r="A33" t="s">
        <v>34</v>
      </c>
      <c r="B33" s="17">
        <v>164.96699999999998</v>
      </c>
    </row>
    <row r="34" spans="1:2">
      <c r="A34" t="s">
        <v>35</v>
      </c>
      <c r="B34" s="17">
        <v>164.96699999999998</v>
      </c>
    </row>
    <row r="35" spans="1:2">
      <c r="A35" t="s">
        <v>36</v>
      </c>
      <c r="B35" s="17">
        <v>164.94499999999999</v>
      </c>
    </row>
    <row r="36" spans="1:2">
      <c r="A36" t="s">
        <v>37</v>
      </c>
      <c r="B36" s="17">
        <v>164.94499999999999</v>
      </c>
    </row>
    <row r="37" spans="1:2">
      <c r="A37" t="s">
        <v>38</v>
      </c>
      <c r="B37" s="17">
        <v>164.94499999999999</v>
      </c>
    </row>
    <row r="38" spans="1:2">
      <c r="A38" t="s">
        <v>39</v>
      </c>
      <c r="B38" s="17">
        <v>164.94499999999999</v>
      </c>
    </row>
    <row r="39" spans="1:2">
      <c r="A39" t="s">
        <v>40</v>
      </c>
      <c r="B39" s="17">
        <v>153.97799999999998</v>
      </c>
    </row>
    <row r="40" spans="1:2">
      <c r="A40" t="s">
        <v>41</v>
      </c>
      <c r="B40" s="17">
        <v>153.97799999999998</v>
      </c>
    </row>
    <row r="41" spans="1:2">
      <c r="A41" t="s">
        <v>42</v>
      </c>
      <c r="B41" s="17">
        <v>153.97799999999998</v>
      </c>
    </row>
    <row r="42" spans="1:2">
      <c r="A42" t="s">
        <v>43</v>
      </c>
      <c r="B42" s="17">
        <v>153.97799999999998</v>
      </c>
    </row>
    <row r="43" spans="1:2">
      <c r="A43" t="s">
        <v>44</v>
      </c>
      <c r="B43" s="17">
        <v>142.989</v>
      </c>
    </row>
    <row r="44" spans="1:2">
      <c r="A44" t="s">
        <v>45</v>
      </c>
      <c r="B44" s="17">
        <v>142.989</v>
      </c>
    </row>
    <row r="45" spans="1:2">
      <c r="A45" t="s">
        <v>46</v>
      </c>
      <c r="B45" s="17">
        <v>142.989</v>
      </c>
    </row>
    <row r="46" spans="1:2">
      <c r="A46" t="s">
        <v>47</v>
      </c>
      <c r="B46" s="17">
        <v>131.96699999999998</v>
      </c>
    </row>
    <row r="47" spans="1:2">
      <c r="A47" t="s">
        <v>48</v>
      </c>
      <c r="B47" s="17">
        <v>131.96699999999998</v>
      </c>
    </row>
    <row r="48" spans="1:2">
      <c r="A48" t="s">
        <v>49</v>
      </c>
      <c r="B48" s="17">
        <v>131.96699999999998</v>
      </c>
    </row>
    <row r="49" spans="1:2">
      <c r="A49" t="s">
        <v>50</v>
      </c>
      <c r="B49" s="17">
        <v>131.96699999999998</v>
      </c>
    </row>
    <row r="50" spans="1:2">
      <c r="A50" t="s">
        <v>51</v>
      </c>
      <c r="B50" s="17">
        <v>109.97800000000001</v>
      </c>
    </row>
    <row r="51" spans="1:2">
      <c r="A51" t="s">
        <v>52</v>
      </c>
      <c r="B51" s="17">
        <v>98.98899999999999</v>
      </c>
    </row>
    <row r="52" spans="1:2">
      <c r="A52" t="s">
        <v>53</v>
      </c>
      <c r="B52" s="17">
        <v>87.955999999999989</v>
      </c>
    </row>
    <row r="53" spans="1:2">
      <c r="A53" t="s">
        <v>54</v>
      </c>
      <c r="B53" s="17">
        <v>87.955999999999989</v>
      </c>
    </row>
    <row r="54" spans="1:2">
      <c r="A54" t="s">
        <v>55</v>
      </c>
      <c r="B54" s="17">
        <v>32.988999999999997</v>
      </c>
    </row>
    <row r="55" spans="1:2">
      <c r="A55" t="s">
        <v>2</v>
      </c>
      <c r="B55" s="17">
        <v>10855.151999999996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6795-8213-4A70-90E3-A39DDB9B88C9}">
  <dimension ref="A3:G109"/>
  <sheetViews>
    <sheetView tabSelected="1" workbookViewId="0">
      <selection activeCell="J1" sqref="J1"/>
    </sheetView>
  </sheetViews>
  <sheetFormatPr defaultRowHeight="15"/>
  <cols>
    <col min="1" max="1" width="13.7109375" bestFit="1" customWidth="1"/>
    <col min="2" max="2" width="12" bestFit="1" customWidth="1"/>
    <col min="3" max="3" width="20.42578125" bestFit="1" customWidth="1"/>
  </cols>
  <sheetData>
    <row r="3" spans="1:7">
      <c r="A3" s="18" t="s">
        <v>0</v>
      </c>
      <c r="B3" s="18" t="s">
        <v>56</v>
      </c>
      <c r="C3" t="s">
        <v>57</v>
      </c>
    </row>
    <row r="4" spans="1:7">
      <c r="A4" s="19">
        <v>45292</v>
      </c>
      <c r="B4" t="s">
        <v>58</v>
      </c>
      <c r="C4" s="17">
        <v>2</v>
      </c>
      <c r="G4" s="21"/>
    </row>
    <row r="5" spans="1:7">
      <c r="B5" t="s">
        <v>59</v>
      </c>
      <c r="C5" s="17">
        <v>1</v>
      </c>
    </row>
    <row r="6" spans="1:7">
      <c r="A6" s="19" t="s">
        <v>60</v>
      </c>
      <c r="C6" s="17">
        <v>3</v>
      </c>
    </row>
    <row r="7" spans="1:7">
      <c r="A7" s="19">
        <v>45293</v>
      </c>
      <c r="B7" t="s">
        <v>61</v>
      </c>
      <c r="C7" s="17">
        <v>3</v>
      </c>
    </row>
    <row r="8" spans="1:7">
      <c r="B8" t="s">
        <v>62</v>
      </c>
      <c r="C8" s="17">
        <v>4</v>
      </c>
    </row>
    <row r="9" spans="1:7">
      <c r="A9" s="19" t="s">
        <v>63</v>
      </c>
      <c r="C9" s="17">
        <v>7</v>
      </c>
    </row>
    <row r="10" spans="1:7">
      <c r="A10" s="19">
        <v>45294</v>
      </c>
      <c r="B10" t="s">
        <v>64</v>
      </c>
      <c r="C10" s="17">
        <v>1</v>
      </c>
    </row>
    <row r="11" spans="1:7">
      <c r="B11" t="s">
        <v>65</v>
      </c>
      <c r="C11" s="17">
        <v>2</v>
      </c>
    </row>
    <row r="12" spans="1:7">
      <c r="A12" s="19" t="s">
        <v>66</v>
      </c>
      <c r="C12" s="17">
        <v>3</v>
      </c>
    </row>
    <row r="13" spans="1:7">
      <c r="A13" s="19">
        <v>45295</v>
      </c>
      <c r="B13" t="s">
        <v>67</v>
      </c>
      <c r="C13" s="17">
        <v>3</v>
      </c>
    </row>
    <row r="14" spans="1:7">
      <c r="B14" t="s">
        <v>68</v>
      </c>
      <c r="C14" s="17">
        <v>2</v>
      </c>
    </row>
    <row r="15" spans="1:7">
      <c r="A15" s="19" t="s">
        <v>69</v>
      </c>
      <c r="C15" s="17">
        <v>5</v>
      </c>
    </row>
    <row r="16" spans="1:7">
      <c r="A16" s="19">
        <v>45296</v>
      </c>
      <c r="B16" t="s">
        <v>70</v>
      </c>
      <c r="C16" s="17">
        <v>1</v>
      </c>
    </row>
    <row r="17" spans="1:3">
      <c r="B17" t="s">
        <v>71</v>
      </c>
      <c r="C17" s="17">
        <v>1</v>
      </c>
    </row>
    <row r="18" spans="1:3">
      <c r="A18" s="19" t="s">
        <v>72</v>
      </c>
      <c r="C18" s="17">
        <v>2</v>
      </c>
    </row>
    <row r="19" spans="1:3">
      <c r="A19" s="19">
        <v>45297</v>
      </c>
      <c r="B19" t="s">
        <v>73</v>
      </c>
      <c r="C19" s="17">
        <v>5</v>
      </c>
    </row>
    <row r="20" spans="1:3">
      <c r="B20" t="s">
        <v>74</v>
      </c>
      <c r="C20" s="17">
        <v>2</v>
      </c>
    </row>
    <row r="21" spans="1:3">
      <c r="A21" s="19" t="s">
        <v>75</v>
      </c>
      <c r="C21" s="17">
        <v>7</v>
      </c>
    </row>
    <row r="22" spans="1:3">
      <c r="A22" s="19">
        <v>45298</v>
      </c>
      <c r="B22" t="s">
        <v>76</v>
      </c>
      <c r="C22" s="17">
        <v>3</v>
      </c>
    </row>
    <row r="23" spans="1:3">
      <c r="B23" t="s">
        <v>77</v>
      </c>
      <c r="C23" s="17">
        <v>1</v>
      </c>
    </row>
    <row r="24" spans="1:3">
      <c r="A24" s="19" t="s">
        <v>78</v>
      </c>
      <c r="C24" s="17">
        <v>4</v>
      </c>
    </row>
    <row r="25" spans="1:3">
      <c r="A25" s="19">
        <v>45299</v>
      </c>
      <c r="B25" t="s">
        <v>79</v>
      </c>
      <c r="C25" s="17">
        <v>4</v>
      </c>
    </row>
    <row r="26" spans="1:3">
      <c r="B26" t="s">
        <v>80</v>
      </c>
      <c r="C26" s="17">
        <v>1</v>
      </c>
    </row>
    <row r="27" spans="1:3">
      <c r="A27" s="19" t="s">
        <v>81</v>
      </c>
      <c r="C27" s="17">
        <v>5</v>
      </c>
    </row>
    <row r="28" spans="1:3">
      <c r="A28" s="19">
        <v>45300</v>
      </c>
      <c r="B28" t="s">
        <v>82</v>
      </c>
      <c r="C28" s="17">
        <v>2</v>
      </c>
    </row>
    <row r="29" spans="1:3">
      <c r="B29" t="s">
        <v>83</v>
      </c>
      <c r="C29" s="17">
        <v>3</v>
      </c>
    </row>
    <row r="30" spans="1:3">
      <c r="A30" s="19" t="s">
        <v>84</v>
      </c>
      <c r="C30" s="17">
        <v>5</v>
      </c>
    </row>
    <row r="31" spans="1:3">
      <c r="A31" s="19">
        <v>45301</v>
      </c>
      <c r="B31" t="s">
        <v>85</v>
      </c>
      <c r="C31" s="17">
        <v>1</v>
      </c>
    </row>
    <row r="32" spans="1:3">
      <c r="B32" t="s">
        <v>86</v>
      </c>
      <c r="C32" s="17">
        <v>5</v>
      </c>
    </row>
    <row r="33" spans="1:3">
      <c r="A33" s="19" t="s">
        <v>87</v>
      </c>
      <c r="C33" s="17">
        <v>6</v>
      </c>
    </row>
    <row r="34" spans="1:3">
      <c r="A34" s="19">
        <v>45302</v>
      </c>
      <c r="B34" t="s">
        <v>88</v>
      </c>
      <c r="C34" s="17">
        <v>2</v>
      </c>
    </row>
    <row r="35" spans="1:3">
      <c r="B35" t="s">
        <v>89</v>
      </c>
      <c r="C35" s="17">
        <v>3</v>
      </c>
    </row>
    <row r="36" spans="1:3">
      <c r="A36" s="19" t="s">
        <v>90</v>
      </c>
      <c r="C36" s="17">
        <v>5</v>
      </c>
    </row>
    <row r="37" spans="1:3">
      <c r="A37" s="19">
        <v>45303</v>
      </c>
      <c r="B37" t="s">
        <v>91</v>
      </c>
      <c r="C37" s="17">
        <v>1</v>
      </c>
    </row>
    <row r="38" spans="1:3">
      <c r="B38" t="s">
        <v>92</v>
      </c>
      <c r="C38" s="17">
        <v>4</v>
      </c>
    </row>
    <row r="39" spans="1:3">
      <c r="A39" s="19" t="s">
        <v>93</v>
      </c>
      <c r="C39" s="17">
        <v>5</v>
      </c>
    </row>
    <row r="40" spans="1:3">
      <c r="A40" s="19">
        <v>45304</v>
      </c>
      <c r="B40" t="s">
        <v>94</v>
      </c>
      <c r="C40" s="17">
        <v>1</v>
      </c>
    </row>
    <row r="41" spans="1:3">
      <c r="B41" t="s">
        <v>95</v>
      </c>
      <c r="C41" s="17">
        <v>2</v>
      </c>
    </row>
    <row r="42" spans="1:3">
      <c r="A42" s="19" t="s">
        <v>96</v>
      </c>
      <c r="C42" s="17">
        <v>3</v>
      </c>
    </row>
    <row r="43" spans="1:3">
      <c r="A43" s="19">
        <v>45305</v>
      </c>
      <c r="B43" t="s">
        <v>97</v>
      </c>
      <c r="C43" s="17">
        <v>3</v>
      </c>
    </row>
    <row r="44" spans="1:3">
      <c r="B44" t="s">
        <v>98</v>
      </c>
      <c r="C44" s="17">
        <v>1</v>
      </c>
    </row>
    <row r="45" spans="1:3">
      <c r="A45" s="19" t="s">
        <v>99</v>
      </c>
      <c r="C45" s="17">
        <v>4</v>
      </c>
    </row>
    <row r="46" spans="1:3">
      <c r="A46" s="19">
        <v>45306</v>
      </c>
      <c r="B46" t="s">
        <v>100</v>
      </c>
      <c r="C46" s="17">
        <v>5</v>
      </c>
    </row>
    <row r="47" spans="1:3">
      <c r="B47" t="s">
        <v>101</v>
      </c>
      <c r="C47" s="17">
        <v>2</v>
      </c>
    </row>
    <row r="48" spans="1:3">
      <c r="A48" s="19" t="s">
        <v>102</v>
      </c>
      <c r="C48" s="17">
        <v>7</v>
      </c>
    </row>
    <row r="49" spans="1:3">
      <c r="A49" s="19">
        <v>45307</v>
      </c>
      <c r="B49" t="s">
        <v>103</v>
      </c>
      <c r="C49" s="17">
        <v>3</v>
      </c>
    </row>
    <row r="50" spans="1:3">
      <c r="B50" t="s">
        <v>104</v>
      </c>
      <c r="C50" s="17">
        <v>1</v>
      </c>
    </row>
    <row r="51" spans="1:3">
      <c r="A51" s="19" t="s">
        <v>105</v>
      </c>
      <c r="C51" s="17">
        <v>4</v>
      </c>
    </row>
    <row r="52" spans="1:3">
      <c r="A52" s="19">
        <v>45308</v>
      </c>
      <c r="B52" t="s">
        <v>106</v>
      </c>
      <c r="C52" s="17">
        <v>4</v>
      </c>
    </row>
    <row r="53" spans="1:3">
      <c r="B53" t="s">
        <v>107</v>
      </c>
      <c r="C53" s="17">
        <v>1</v>
      </c>
    </row>
    <row r="54" spans="1:3">
      <c r="A54" s="19" t="s">
        <v>108</v>
      </c>
      <c r="C54" s="17">
        <v>5</v>
      </c>
    </row>
    <row r="55" spans="1:3">
      <c r="A55" s="19">
        <v>45309</v>
      </c>
      <c r="B55" t="s">
        <v>109</v>
      </c>
      <c r="C55" s="17">
        <v>2</v>
      </c>
    </row>
    <row r="56" spans="1:3">
      <c r="B56" t="s">
        <v>110</v>
      </c>
      <c r="C56" s="17">
        <v>3</v>
      </c>
    </row>
    <row r="57" spans="1:3">
      <c r="A57" s="19" t="s">
        <v>111</v>
      </c>
      <c r="C57" s="17">
        <v>5</v>
      </c>
    </row>
    <row r="58" spans="1:3">
      <c r="A58" s="19">
        <v>45310</v>
      </c>
      <c r="B58" t="s">
        <v>112</v>
      </c>
      <c r="C58" s="17">
        <v>1</v>
      </c>
    </row>
    <row r="59" spans="1:3">
      <c r="B59" t="s">
        <v>113</v>
      </c>
      <c r="C59" s="17">
        <v>5</v>
      </c>
    </row>
    <row r="60" spans="1:3">
      <c r="A60" s="19" t="s">
        <v>114</v>
      </c>
      <c r="C60" s="17">
        <v>6</v>
      </c>
    </row>
    <row r="61" spans="1:3">
      <c r="A61" s="19">
        <v>45311</v>
      </c>
      <c r="B61" t="s">
        <v>115</v>
      </c>
      <c r="C61" s="17">
        <v>2</v>
      </c>
    </row>
    <row r="62" spans="1:3">
      <c r="B62" t="s">
        <v>116</v>
      </c>
      <c r="C62" s="17">
        <v>3</v>
      </c>
    </row>
    <row r="63" spans="1:3">
      <c r="A63" s="19" t="s">
        <v>117</v>
      </c>
      <c r="C63" s="17">
        <v>5</v>
      </c>
    </row>
    <row r="64" spans="1:3">
      <c r="A64" s="19">
        <v>45312</v>
      </c>
      <c r="B64" t="s">
        <v>118</v>
      </c>
      <c r="C64" s="17">
        <v>1</v>
      </c>
    </row>
    <row r="65" spans="1:3">
      <c r="B65" t="s">
        <v>119</v>
      </c>
      <c r="C65" s="17">
        <v>4</v>
      </c>
    </row>
    <row r="66" spans="1:3">
      <c r="A66" s="19" t="s">
        <v>120</v>
      </c>
      <c r="C66" s="17">
        <v>5</v>
      </c>
    </row>
    <row r="67" spans="1:3">
      <c r="A67" s="19">
        <v>45313</v>
      </c>
      <c r="B67" t="s">
        <v>121</v>
      </c>
      <c r="C67" s="17">
        <v>1</v>
      </c>
    </row>
    <row r="68" spans="1:3">
      <c r="B68" t="s">
        <v>122</v>
      </c>
      <c r="C68" s="17">
        <v>2</v>
      </c>
    </row>
    <row r="69" spans="1:3">
      <c r="A69" s="19" t="s">
        <v>123</v>
      </c>
      <c r="C69" s="17">
        <v>3</v>
      </c>
    </row>
    <row r="70" spans="1:3">
      <c r="A70" s="19">
        <v>45314</v>
      </c>
      <c r="B70" t="s">
        <v>124</v>
      </c>
      <c r="C70" s="17">
        <v>3</v>
      </c>
    </row>
    <row r="71" spans="1:3">
      <c r="B71" t="s">
        <v>125</v>
      </c>
      <c r="C71" s="17">
        <v>1</v>
      </c>
    </row>
    <row r="72" spans="1:3">
      <c r="A72" s="19" t="s">
        <v>126</v>
      </c>
      <c r="C72" s="17">
        <v>4</v>
      </c>
    </row>
    <row r="73" spans="1:3">
      <c r="A73" s="19">
        <v>45315</v>
      </c>
      <c r="B73" t="s">
        <v>127</v>
      </c>
      <c r="C73" s="17">
        <v>5</v>
      </c>
    </row>
    <row r="74" spans="1:3">
      <c r="B74" t="s">
        <v>128</v>
      </c>
      <c r="C74" s="17">
        <v>2</v>
      </c>
    </row>
    <row r="75" spans="1:3">
      <c r="A75" s="19" t="s">
        <v>129</v>
      </c>
      <c r="C75" s="17">
        <v>7</v>
      </c>
    </row>
    <row r="76" spans="1:3">
      <c r="A76" s="19">
        <v>45316</v>
      </c>
      <c r="B76" t="s">
        <v>130</v>
      </c>
      <c r="C76" s="17">
        <v>3</v>
      </c>
    </row>
    <row r="77" spans="1:3">
      <c r="B77" t="s">
        <v>131</v>
      </c>
      <c r="C77" s="17">
        <v>1</v>
      </c>
    </row>
    <row r="78" spans="1:3">
      <c r="A78" s="19" t="s">
        <v>132</v>
      </c>
      <c r="C78" s="17">
        <v>4</v>
      </c>
    </row>
    <row r="79" spans="1:3">
      <c r="A79" s="19">
        <v>45317</v>
      </c>
      <c r="B79" t="s">
        <v>133</v>
      </c>
      <c r="C79" s="17">
        <v>4</v>
      </c>
    </row>
    <row r="80" spans="1:3">
      <c r="B80" t="s">
        <v>134</v>
      </c>
      <c r="C80" s="17">
        <v>1</v>
      </c>
    </row>
    <row r="81" spans="1:3">
      <c r="A81" s="19" t="s">
        <v>135</v>
      </c>
      <c r="C81" s="17">
        <v>5</v>
      </c>
    </row>
    <row r="82" spans="1:3">
      <c r="A82" s="19">
        <v>45318</v>
      </c>
      <c r="B82" t="s">
        <v>136</v>
      </c>
      <c r="C82" s="17">
        <v>2</v>
      </c>
    </row>
    <row r="83" spans="1:3">
      <c r="B83" t="s">
        <v>137</v>
      </c>
      <c r="C83" s="17">
        <v>3</v>
      </c>
    </row>
    <row r="84" spans="1:3">
      <c r="A84" s="19" t="s">
        <v>138</v>
      </c>
      <c r="C84" s="17">
        <v>5</v>
      </c>
    </row>
    <row r="85" spans="1:3">
      <c r="A85" s="19">
        <v>45319</v>
      </c>
      <c r="B85" t="s">
        <v>139</v>
      </c>
      <c r="C85" s="17">
        <v>1</v>
      </c>
    </row>
    <row r="86" spans="1:3">
      <c r="B86" t="s">
        <v>140</v>
      </c>
      <c r="C86" s="17">
        <v>5</v>
      </c>
    </row>
    <row r="87" spans="1:3">
      <c r="A87" s="19" t="s">
        <v>141</v>
      </c>
      <c r="C87" s="17">
        <v>6</v>
      </c>
    </row>
    <row r="88" spans="1:3">
      <c r="A88" s="19">
        <v>45320</v>
      </c>
      <c r="B88" t="s">
        <v>142</v>
      </c>
      <c r="C88" s="17">
        <v>2</v>
      </c>
    </row>
    <row r="89" spans="1:3">
      <c r="B89" t="s">
        <v>143</v>
      </c>
      <c r="C89" s="17">
        <v>3</v>
      </c>
    </row>
    <row r="90" spans="1:3">
      <c r="A90" s="19" t="s">
        <v>144</v>
      </c>
      <c r="C90" s="17">
        <v>5</v>
      </c>
    </row>
    <row r="91" spans="1:3">
      <c r="A91" s="19">
        <v>45321</v>
      </c>
      <c r="B91" t="s">
        <v>145</v>
      </c>
      <c r="C91" s="17">
        <v>1</v>
      </c>
    </row>
    <row r="92" spans="1:3">
      <c r="B92" t="s">
        <v>146</v>
      </c>
      <c r="C92" s="17">
        <v>4</v>
      </c>
    </row>
    <row r="93" spans="1:3">
      <c r="A93" s="19" t="s">
        <v>147</v>
      </c>
      <c r="C93" s="17">
        <v>5</v>
      </c>
    </row>
    <row r="94" spans="1:3">
      <c r="A94" s="19">
        <v>45322</v>
      </c>
      <c r="B94" t="s">
        <v>148</v>
      </c>
      <c r="C94" s="17">
        <v>1</v>
      </c>
    </row>
    <row r="95" spans="1:3">
      <c r="B95" t="s">
        <v>149</v>
      </c>
      <c r="C95" s="17">
        <v>2</v>
      </c>
    </row>
    <row r="96" spans="1:3">
      <c r="A96" s="19" t="s">
        <v>150</v>
      </c>
      <c r="C96" s="17">
        <v>3</v>
      </c>
    </row>
    <row r="97" spans="1:3">
      <c r="A97" s="19">
        <v>45323</v>
      </c>
      <c r="B97" t="s">
        <v>151</v>
      </c>
      <c r="C97" s="17">
        <v>3</v>
      </c>
    </row>
    <row r="98" spans="1:3">
      <c r="B98" t="s">
        <v>152</v>
      </c>
      <c r="C98" s="17">
        <v>1</v>
      </c>
    </row>
    <row r="99" spans="1:3">
      <c r="B99" t="s">
        <v>153</v>
      </c>
      <c r="C99" s="17">
        <v>5</v>
      </c>
    </row>
    <row r="100" spans="1:3">
      <c r="A100" s="19" t="s">
        <v>154</v>
      </c>
      <c r="C100" s="17">
        <v>9</v>
      </c>
    </row>
    <row r="101" spans="1:3">
      <c r="A101" s="19">
        <v>45324</v>
      </c>
      <c r="B101" t="s">
        <v>155</v>
      </c>
      <c r="C101" s="17">
        <v>2</v>
      </c>
    </row>
    <row r="102" spans="1:3">
      <c r="A102" s="19" t="s">
        <v>156</v>
      </c>
      <c r="C102" s="17">
        <v>2</v>
      </c>
    </row>
    <row r="103" spans="1:3">
      <c r="A103" s="19">
        <v>45325</v>
      </c>
      <c r="B103" t="s">
        <v>157</v>
      </c>
      <c r="C103" s="17">
        <v>3</v>
      </c>
    </row>
    <row r="104" spans="1:3">
      <c r="A104" s="19" t="s">
        <v>158</v>
      </c>
      <c r="C104" s="17">
        <v>3</v>
      </c>
    </row>
    <row r="105" spans="1:3">
      <c r="A105" s="19">
        <v>45326</v>
      </c>
      <c r="B105" t="s">
        <v>159</v>
      </c>
      <c r="C105" s="17">
        <v>1</v>
      </c>
    </row>
    <row r="106" spans="1:3">
      <c r="B106" t="s">
        <v>160</v>
      </c>
      <c r="C106" s="17">
        <v>4</v>
      </c>
    </row>
    <row r="107" spans="1:3">
      <c r="B107" t="s">
        <v>161</v>
      </c>
      <c r="C107" s="17">
        <v>1</v>
      </c>
    </row>
    <row r="108" spans="1:3">
      <c r="A108" s="19" t="s">
        <v>162</v>
      </c>
      <c r="C108" s="17">
        <v>6</v>
      </c>
    </row>
    <row r="109" spans="1:3">
      <c r="A109" s="19" t="s">
        <v>2</v>
      </c>
      <c r="C109" s="17">
        <v>168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B2:I80"/>
  <sheetViews>
    <sheetView showGridLines="0" topLeftCell="A8" workbookViewId="0">
      <selection activeCell="C9" sqref="C9"/>
    </sheetView>
  </sheetViews>
  <sheetFormatPr defaultColWidth="8.85546875" defaultRowHeight="14.45" outlineLevelRow="2"/>
  <cols>
    <col min="1" max="1" width="4.42578125" style="2" customWidth="1"/>
    <col min="2" max="2" width="12" style="2" bestFit="1" customWidth="1"/>
    <col min="3" max="3" width="13.7109375" style="2" customWidth="1"/>
    <col min="4" max="4" width="20.28515625" style="2" customWidth="1"/>
    <col min="5" max="5" width="13.5703125" style="2" customWidth="1"/>
    <col min="6" max="6" width="19.85546875" style="2" customWidth="1"/>
    <col min="7" max="7" width="17.5703125" style="2" customWidth="1"/>
    <col min="8" max="8" width="12.42578125" style="2" customWidth="1"/>
    <col min="9" max="9" width="14" style="2" customWidth="1"/>
    <col min="10" max="16384" width="8.85546875" style="2"/>
  </cols>
  <sheetData>
    <row r="2" spans="2:9" ht="18.600000000000001" thickBot="1">
      <c r="B2" s="1" t="s">
        <v>163</v>
      </c>
      <c r="C2" s="1"/>
      <c r="D2" s="1"/>
      <c r="E2" s="1"/>
      <c r="F2" s="1"/>
      <c r="G2" s="1"/>
      <c r="H2" s="1"/>
      <c r="I2" s="1"/>
    </row>
    <row r="4" spans="2:9" ht="18.600000000000001" thickBot="1">
      <c r="B4" s="3" t="s">
        <v>164</v>
      </c>
      <c r="C4" s="1"/>
      <c r="D4" s="1"/>
      <c r="E4" s="1"/>
      <c r="F4" s="1"/>
      <c r="G4" s="1"/>
      <c r="H4" s="1"/>
      <c r="I4" s="1"/>
    </row>
    <row r="6" spans="2:9" ht="15.6">
      <c r="H6" s="4" t="s">
        <v>165</v>
      </c>
      <c r="I6" s="5">
        <v>0.1</v>
      </c>
    </row>
    <row r="8" spans="2:9" ht="15.6">
      <c r="B8" s="9" t="s">
        <v>56</v>
      </c>
      <c r="C8" s="4" t="s">
        <v>0</v>
      </c>
      <c r="D8" s="4" t="s">
        <v>3</v>
      </c>
      <c r="E8" s="4" t="s">
        <v>166</v>
      </c>
      <c r="F8" s="4" t="s">
        <v>167</v>
      </c>
      <c r="G8" s="4" t="s">
        <v>168</v>
      </c>
      <c r="H8" s="4" t="s">
        <v>169</v>
      </c>
      <c r="I8" s="11" t="s">
        <v>170</v>
      </c>
    </row>
    <row r="9" spans="2:9" outlineLevel="2">
      <c r="B9" s="10" t="s">
        <v>58</v>
      </c>
      <c r="C9" s="7">
        <v>45292</v>
      </c>
      <c r="D9" s="6" t="s">
        <v>51</v>
      </c>
      <c r="E9" s="7">
        <v>45294</v>
      </c>
      <c r="F9" s="6">
        <v>49.99</v>
      </c>
      <c r="G9" s="6">
        <v>2</v>
      </c>
      <c r="H9" s="6">
        <f>F9*G9*$I$6</f>
        <v>9.9980000000000011</v>
      </c>
      <c r="I9" s="12">
        <f>F9*G9+H9</f>
        <v>109.97800000000001</v>
      </c>
    </row>
    <row r="10" spans="2:9">
      <c r="B10" s="10" t="s">
        <v>59</v>
      </c>
      <c r="C10" s="7">
        <v>45292</v>
      </c>
      <c r="D10" s="6" t="s">
        <v>55</v>
      </c>
      <c r="E10" s="7">
        <v>45295</v>
      </c>
      <c r="F10" s="6">
        <v>29.99</v>
      </c>
      <c r="G10" s="6">
        <v>1</v>
      </c>
      <c r="H10" s="6">
        <f t="shared" ref="H10:H73" si="0">F10*G10*$I$6</f>
        <v>2.9990000000000001</v>
      </c>
      <c r="I10" s="12">
        <f t="shared" ref="I10:I73" si="1">F10*G10+H10</f>
        <v>32.988999999999997</v>
      </c>
    </row>
    <row r="11" spans="2:9">
      <c r="B11" s="10" t="s">
        <v>61</v>
      </c>
      <c r="C11" s="7">
        <v>45293</v>
      </c>
      <c r="D11" s="6" t="s">
        <v>6</v>
      </c>
      <c r="E11" s="7">
        <v>45298</v>
      </c>
      <c r="F11" s="6">
        <v>99.99</v>
      </c>
      <c r="G11" s="6">
        <v>3</v>
      </c>
      <c r="H11" s="6">
        <f t="shared" si="0"/>
        <v>29.997</v>
      </c>
      <c r="I11" s="12">
        <f t="shared" si="1"/>
        <v>329.96699999999998</v>
      </c>
    </row>
    <row r="12" spans="2:9">
      <c r="B12" s="10" t="s">
        <v>62</v>
      </c>
      <c r="C12" s="7">
        <v>45293</v>
      </c>
      <c r="D12" s="6" t="s">
        <v>10</v>
      </c>
      <c r="E12" s="7">
        <v>45294</v>
      </c>
      <c r="F12" s="6">
        <v>19.989999999999998</v>
      </c>
      <c r="G12" s="6">
        <v>4</v>
      </c>
      <c r="H12" s="6">
        <f t="shared" si="0"/>
        <v>7.9959999999999996</v>
      </c>
      <c r="I12" s="12">
        <f t="shared" si="1"/>
        <v>87.955999999999989</v>
      </c>
    </row>
    <row r="13" spans="2:9">
      <c r="B13" s="10" t="s">
        <v>64</v>
      </c>
      <c r="C13" s="7">
        <v>45294</v>
      </c>
      <c r="D13" s="6" t="s">
        <v>7</v>
      </c>
      <c r="E13" s="7">
        <v>45299</v>
      </c>
      <c r="F13" s="6">
        <v>149.99</v>
      </c>
      <c r="G13" s="6">
        <v>1</v>
      </c>
      <c r="H13" s="6">
        <f t="shared" si="0"/>
        <v>14.999000000000002</v>
      </c>
      <c r="I13" s="12">
        <f t="shared" si="1"/>
        <v>164.989</v>
      </c>
    </row>
    <row r="14" spans="2:9">
      <c r="B14" s="10" t="s">
        <v>65</v>
      </c>
      <c r="C14" s="7">
        <v>45294</v>
      </c>
      <c r="D14" s="6" t="s">
        <v>29</v>
      </c>
      <c r="E14" s="7">
        <v>45297</v>
      </c>
      <c r="F14" s="6">
        <v>79.989999999999995</v>
      </c>
      <c r="G14" s="6">
        <v>2</v>
      </c>
      <c r="H14" s="6">
        <f t="shared" si="0"/>
        <v>15.997999999999999</v>
      </c>
      <c r="I14" s="12">
        <f t="shared" si="1"/>
        <v>175.97799999999998</v>
      </c>
    </row>
    <row r="15" spans="2:9">
      <c r="B15" s="10" t="s">
        <v>67</v>
      </c>
      <c r="C15" s="7">
        <v>45295</v>
      </c>
      <c r="D15" s="6" t="s">
        <v>47</v>
      </c>
      <c r="E15" s="7">
        <v>45297</v>
      </c>
      <c r="F15" s="6">
        <v>39.99</v>
      </c>
      <c r="G15" s="6">
        <v>3</v>
      </c>
      <c r="H15" s="6">
        <f t="shared" si="0"/>
        <v>11.997</v>
      </c>
      <c r="I15" s="12">
        <f t="shared" si="1"/>
        <v>131.96699999999998</v>
      </c>
    </row>
    <row r="16" spans="2:9">
      <c r="B16" s="10" t="s">
        <v>68</v>
      </c>
      <c r="C16" s="7">
        <v>45295</v>
      </c>
      <c r="D16" s="6" t="s">
        <v>42</v>
      </c>
      <c r="E16" s="7">
        <v>45300</v>
      </c>
      <c r="F16" s="6">
        <v>69.989999999999995</v>
      </c>
      <c r="G16" s="6">
        <v>2</v>
      </c>
      <c r="H16" s="6">
        <f t="shared" si="0"/>
        <v>13.997999999999999</v>
      </c>
      <c r="I16" s="12">
        <f t="shared" si="1"/>
        <v>153.97799999999998</v>
      </c>
    </row>
    <row r="17" spans="2:9">
      <c r="B17" s="10" t="s">
        <v>70</v>
      </c>
      <c r="C17" s="7">
        <v>45296</v>
      </c>
      <c r="D17" s="6" t="s">
        <v>52</v>
      </c>
      <c r="E17" s="7">
        <v>45297</v>
      </c>
      <c r="F17" s="6">
        <v>89.99</v>
      </c>
      <c r="G17" s="6">
        <v>1</v>
      </c>
      <c r="H17" s="6">
        <f t="shared" si="0"/>
        <v>8.9990000000000006</v>
      </c>
      <c r="I17" s="12">
        <f t="shared" si="1"/>
        <v>98.98899999999999</v>
      </c>
    </row>
    <row r="18" spans="2:9">
      <c r="B18" s="10" t="s">
        <v>71</v>
      </c>
      <c r="C18" s="7">
        <v>45296</v>
      </c>
      <c r="D18" s="6" t="s">
        <v>23</v>
      </c>
      <c r="E18" s="7">
        <v>45299</v>
      </c>
      <c r="F18" s="6">
        <v>199.99</v>
      </c>
      <c r="G18" s="6">
        <v>1</v>
      </c>
      <c r="H18" s="6">
        <f t="shared" si="0"/>
        <v>19.999000000000002</v>
      </c>
      <c r="I18" s="12">
        <f t="shared" si="1"/>
        <v>219.989</v>
      </c>
    </row>
    <row r="19" spans="2:9">
      <c r="B19" s="10" t="s">
        <v>73</v>
      </c>
      <c r="C19" s="7">
        <v>45297</v>
      </c>
      <c r="D19" s="6" t="s">
        <v>38</v>
      </c>
      <c r="E19" s="7">
        <v>45298</v>
      </c>
      <c r="F19" s="6">
        <v>29.99</v>
      </c>
      <c r="G19" s="6">
        <v>5</v>
      </c>
      <c r="H19" s="6">
        <f t="shared" si="0"/>
        <v>14.994999999999999</v>
      </c>
      <c r="I19" s="12">
        <f t="shared" si="1"/>
        <v>164.94499999999999</v>
      </c>
    </row>
    <row r="20" spans="2:9">
      <c r="B20" s="10" t="s">
        <v>74</v>
      </c>
      <c r="C20" s="7">
        <v>45297</v>
      </c>
      <c r="D20" s="6" t="s">
        <v>26</v>
      </c>
      <c r="E20" s="7">
        <v>45299</v>
      </c>
      <c r="F20" s="6">
        <v>79.989999999999995</v>
      </c>
      <c r="G20" s="6">
        <v>2</v>
      </c>
      <c r="H20" s="6">
        <f t="shared" si="0"/>
        <v>15.997999999999999</v>
      </c>
      <c r="I20" s="12">
        <f t="shared" si="1"/>
        <v>175.97799999999998</v>
      </c>
    </row>
    <row r="21" spans="2:9">
      <c r="B21" s="10" t="s">
        <v>76</v>
      </c>
      <c r="C21" s="7">
        <v>45298</v>
      </c>
      <c r="D21" s="6" t="s">
        <v>34</v>
      </c>
      <c r="E21" s="7">
        <v>45300</v>
      </c>
      <c r="F21" s="6">
        <v>49.99</v>
      </c>
      <c r="G21" s="6">
        <v>3</v>
      </c>
      <c r="H21" s="6">
        <f t="shared" si="0"/>
        <v>14.997</v>
      </c>
      <c r="I21" s="12">
        <f t="shared" si="1"/>
        <v>164.96699999999998</v>
      </c>
    </row>
    <row r="22" spans="2:9">
      <c r="B22" s="10" t="s">
        <v>77</v>
      </c>
      <c r="C22" s="7">
        <v>45298</v>
      </c>
      <c r="D22" s="6" t="s">
        <v>44</v>
      </c>
      <c r="E22" s="7">
        <v>45303</v>
      </c>
      <c r="F22" s="6">
        <v>129.99</v>
      </c>
      <c r="G22" s="6">
        <v>1</v>
      </c>
      <c r="H22" s="6">
        <f t="shared" si="0"/>
        <v>12.999000000000002</v>
      </c>
      <c r="I22" s="12">
        <f t="shared" si="1"/>
        <v>142.989</v>
      </c>
    </row>
    <row r="23" spans="2:9">
      <c r="B23" s="10" t="s">
        <v>79</v>
      </c>
      <c r="C23" s="7">
        <v>45299</v>
      </c>
      <c r="D23" s="6" t="s">
        <v>54</v>
      </c>
      <c r="E23" s="7">
        <v>45304</v>
      </c>
      <c r="F23" s="6">
        <v>19.989999999999998</v>
      </c>
      <c r="G23" s="6">
        <v>4</v>
      </c>
      <c r="H23" s="6">
        <f t="shared" si="0"/>
        <v>7.9959999999999996</v>
      </c>
      <c r="I23" s="12">
        <f t="shared" si="1"/>
        <v>87.955999999999989</v>
      </c>
    </row>
    <row r="24" spans="2:9">
      <c r="B24" s="10" t="s">
        <v>80</v>
      </c>
      <c r="C24" s="7">
        <v>45299</v>
      </c>
      <c r="D24" s="6" t="s">
        <v>32</v>
      </c>
      <c r="E24" s="7">
        <v>45303</v>
      </c>
      <c r="F24" s="6">
        <v>149.99</v>
      </c>
      <c r="G24" s="6">
        <v>1</v>
      </c>
      <c r="H24" s="6">
        <f t="shared" si="0"/>
        <v>14.999000000000002</v>
      </c>
      <c r="I24" s="12">
        <f t="shared" si="1"/>
        <v>164.989</v>
      </c>
    </row>
    <row r="25" spans="2:9">
      <c r="B25" s="10" t="s">
        <v>82</v>
      </c>
      <c r="C25" s="7">
        <v>45300</v>
      </c>
      <c r="D25" s="6" t="s">
        <v>43</v>
      </c>
      <c r="E25" s="7">
        <v>45305</v>
      </c>
      <c r="F25" s="6">
        <v>69.989999999999995</v>
      </c>
      <c r="G25" s="6">
        <v>2</v>
      </c>
      <c r="H25" s="6">
        <f t="shared" si="0"/>
        <v>13.997999999999999</v>
      </c>
      <c r="I25" s="12">
        <f t="shared" si="1"/>
        <v>153.97799999999998</v>
      </c>
    </row>
    <row r="26" spans="2:9">
      <c r="B26" s="10" t="s">
        <v>83</v>
      </c>
      <c r="C26" s="7">
        <v>45300</v>
      </c>
      <c r="D26" s="6" t="s">
        <v>48</v>
      </c>
      <c r="E26" s="7">
        <v>45303</v>
      </c>
      <c r="F26" s="6">
        <v>39.99</v>
      </c>
      <c r="G26" s="6">
        <v>3</v>
      </c>
      <c r="H26" s="6">
        <f t="shared" si="0"/>
        <v>11.997</v>
      </c>
      <c r="I26" s="12">
        <f t="shared" si="1"/>
        <v>131.96699999999998</v>
      </c>
    </row>
    <row r="27" spans="2:9">
      <c r="B27" s="10" t="s">
        <v>85</v>
      </c>
      <c r="C27" s="7">
        <v>45301</v>
      </c>
      <c r="D27" s="6" t="s">
        <v>24</v>
      </c>
      <c r="E27" s="7">
        <v>45302</v>
      </c>
      <c r="F27" s="6">
        <v>199.99</v>
      </c>
      <c r="G27" s="6">
        <v>1</v>
      </c>
      <c r="H27" s="6">
        <f t="shared" si="0"/>
        <v>19.999000000000002</v>
      </c>
      <c r="I27" s="12">
        <f t="shared" si="1"/>
        <v>219.989</v>
      </c>
    </row>
    <row r="28" spans="2:9">
      <c r="B28" s="10" t="s">
        <v>86</v>
      </c>
      <c r="C28" s="7">
        <v>45301</v>
      </c>
      <c r="D28" s="6" t="s">
        <v>5</v>
      </c>
      <c r="E28" s="7">
        <v>45305</v>
      </c>
      <c r="F28" s="6">
        <v>29.99</v>
      </c>
      <c r="G28" s="6">
        <v>5</v>
      </c>
      <c r="H28" s="6">
        <f t="shared" si="0"/>
        <v>14.994999999999999</v>
      </c>
      <c r="I28" s="12">
        <f t="shared" si="1"/>
        <v>164.94499999999999</v>
      </c>
    </row>
    <row r="29" spans="2:9">
      <c r="B29" s="10" t="s">
        <v>88</v>
      </c>
      <c r="C29" s="7">
        <v>45302</v>
      </c>
      <c r="D29" s="6" t="s">
        <v>28</v>
      </c>
      <c r="E29" s="7">
        <v>45305</v>
      </c>
      <c r="F29" s="6">
        <v>79.989999999999995</v>
      </c>
      <c r="G29" s="6">
        <v>2</v>
      </c>
      <c r="H29" s="6">
        <f t="shared" si="0"/>
        <v>15.997999999999999</v>
      </c>
      <c r="I29" s="12">
        <f t="shared" si="1"/>
        <v>175.97799999999998</v>
      </c>
    </row>
    <row r="30" spans="2:9">
      <c r="B30" s="10" t="s">
        <v>89</v>
      </c>
      <c r="C30" s="7">
        <v>45302</v>
      </c>
      <c r="D30" s="6" t="s">
        <v>33</v>
      </c>
      <c r="E30" s="7">
        <v>45306</v>
      </c>
      <c r="F30" s="6">
        <v>49.99</v>
      </c>
      <c r="G30" s="6">
        <v>3</v>
      </c>
      <c r="H30" s="6">
        <f t="shared" si="0"/>
        <v>14.997</v>
      </c>
      <c r="I30" s="12">
        <f t="shared" si="1"/>
        <v>164.96699999999998</v>
      </c>
    </row>
    <row r="31" spans="2:9">
      <c r="B31" s="10" t="s">
        <v>91</v>
      </c>
      <c r="C31" s="7">
        <v>45303</v>
      </c>
      <c r="D31" s="6" t="s">
        <v>45</v>
      </c>
      <c r="E31" s="7">
        <v>45308</v>
      </c>
      <c r="F31" s="6">
        <v>129.99</v>
      </c>
      <c r="G31" s="6">
        <v>1</v>
      </c>
      <c r="H31" s="6">
        <f t="shared" si="0"/>
        <v>12.999000000000002</v>
      </c>
      <c r="I31" s="12">
        <f t="shared" si="1"/>
        <v>142.989</v>
      </c>
    </row>
    <row r="32" spans="2:9">
      <c r="B32" s="10" t="s">
        <v>92</v>
      </c>
      <c r="C32" s="7">
        <v>45303</v>
      </c>
      <c r="D32" s="6" t="s">
        <v>19</v>
      </c>
      <c r="E32" s="7">
        <v>45308</v>
      </c>
      <c r="F32" s="6">
        <v>19.989999999999998</v>
      </c>
      <c r="G32" s="6">
        <v>4</v>
      </c>
      <c r="H32" s="6">
        <f t="shared" si="0"/>
        <v>7.9959999999999996</v>
      </c>
      <c r="I32" s="12">
        <f t="shared" si="1"/>
        <v>87.955999999999989</v>
      </c>
    </row>
    <row r="33" spans="2:9">
      <c r="B33" s="10" t="s">
        <v>94</v>
      </c>
      <c r="C33" s="7">
        <v>45304</v>
      </c>
      <c r="D33" s="6" t="s">
        <v>7</v>
      </c>
      <c r="E33" s="7">
        <v>45308</v>
      </c>
      <c r="F33" s="6">
        <v>149.99</v>
      </c>
      <c r="G33" s="6">
        <v>1</v>
      </c>
      <c r="H33" s="6">
        <f t="shared" si="0"/>
        <v>14.999000000000002</v>
      </c>
      <c r="I33" s="12">
        <f t="shared" si="1"/>
        <v>164.989</v>
      </c>
    </row>
    <row r="34" spans="2:9">
      <c r="B34" s="10" t="s">
        <v>95</v>
      </c>
      <c r="C34" s="7">
        <v>45304</v>
      </c>
      <c r="D34" s="6" t="s">
        <v>40</v>
      </c>
      <c r="E34" s="7">
        <v>45305</v>
      </c>
      <c r="F34" s="6">
        <v>69.989999999999995</v>
      </c>
      <c r="G34" s="6">
        <v>2</v>
      </c>
      <c r="H34" s="6">
        <f t="shared" si="0"/>
        <v>13.997999999999999</v>
      </c>
      <c r="I34" s="12">
        <f t="shared" si="1"/>
        <v>153.97799999999998</v>
      </c>
    </row>
    <row r="35" spans="2:9">
      <c r="B35" s="10" t="s">
        <v>97</v>
      </c>
      <c r="C35" s="7">
        <v>45305</v>
      </c>
      <c r="D35" s="6" t="s">
        <v>50</v>
      </c>
      <c r="E35" s="7">
        <v>45309</v>
      </c>
      <c r="F35" s="6">
        <v>39.99</v>
      </c>
      <c r="G35" s="6">
        <v>3</v>
      </c>
      <c r="H35" s="6">
        <f t="shared" si="0"/>
        <v>11.997</v>
      </c>
      <c r="I35" s="12">
        <f t="shared" si="1"/>
        <v>131.96699999999998</v>
      </c>
    </row>
    <row r="36" spans="2:9">
      <c r="B36" s="10" t="s">
        <v>98</v>
      </c>
      <c r="C36" s="7">
        <v>45305</v>
      </c>
      <c r="D36" s="6" t="s">
        <v>21</v>
      </c>
      <c r="E36" s="7">
        <v>45310</v>
      </c>
      <c r="F36" s="6">
        <v>199.99</v>
      </c>
      <c r="G36" s="6">
        <v>1</v>
      </c>
      <c r="H36" s="6">
        <f t="shared" si="0"/>
        <v>19.999000000000002</v>
      </c>
      <c r="I36" s="12">
        <f t="shared" si="1"/>
        <v>219.989</v>
      </c>
    </row>
    <row r="37" spans="2:9">
      <c r="B37" s="10" t="s">
        <v>100</v>
      </c>
      <c r="C37" s="7">
        <v>45306</v>
      </c>
      <c r="D37" s="6" t="s">
        <v>37</v>
      </c>
      <c r="E37" s="7">
        <v>45310</v>
      </c>
      <c r="F37" s="6">
        <v>29.99</v>
      </c>
      <c r="G37" s="6">
        <v>5</v>
      </c>
      <c r="H37" s="6">
        <f t="shared" si="0"/>
        <v>14.994999999999999</v>
      </c>
      <c r="I37" s="12">
        <f t="shared" si="1"/>
        <v>164.94499999999999</v>
      </c>
    </row>
    <row r="38" spans="2:9">
      <c r="B38" s="10" t="s">
        <v>101</v>
      </c>
      <c r="C38" s="7">
        <v>45306</v>
      </c>
      <c r="D38" s="6" t="s">
        <v>30</v>
      </c>
      <c r="E38" s="7">
        <v>45310</v>
      </c>
      <c r="F38" s="6">
        <v>79.989999999999995</v>
      </c>
      <c r="G38" s="6">
        <v>2</v>
      </c>
      <c r="H38" s="6">
        <f t="shared" si="0"/>
        <v>15.997999999999999</v>
      </c>
      <c r="I38" s="12">
        <f t="shared" si="1"/>
        <v>175.97799999999998</v>
      </c>
    </row>
    <row r="39" spans="2:9">
      <c r="B39" s="10" t="s">
        <v>103</v>
      </c>
      <c r="C39" s="7">
        <v>45307</v>
      </c>
      <c r="D39" s="6" t="s">
        <v>35</v>
      </c>
      <c r="E39" s="7">
        <v>45310</v>
      </c>
      <c r="F39" s="6">
        <v>49.99</v>
      </c>
      <c r="G39" s="6">
        <v>3</v>
      </c>
      <c r="H39" s="6">
        <f t="shared" si="0"/>
        <v>14.997</v>
      </c>
      <c r="I39" s="12">
        <f t="shared" si="1"/>
        <v>164.96699999999998</v>
      </c>
    </row>
    <row r="40" spans="2:9">
      <c r="B40" s="10" t="s">
        <v>104</v>
      </c>
      <c r="C40" s="7">
        <v>45307</v>
      </c>
      <c r="D40" s="6" t="s">
        <v>46</v>
      </c>
      <c r="E40" s="7">
        <v>45308</v>
      </c>
      <c r="F40" s="6">
        <v>129.99</v>
      </c>
      <c r="G40" s="6">
        <v>1</v>
      </c>
      <c r="H40" s="6">
        <f t="shared" si="0"/>
        <v>12.999000000000002</v>
      </c>
      <c r="I40" s="12">
        <f t="shared" si="1"/>
        <v>142.989</v>
      </c>
    </row>
    <row r="41" spans="2:9">
      <c r="B41" s="10" t="s">
        <v>106</v>
      </c>
      <c r="C41" s="7">
        <v>45308</v>
      </c>
      <c r="D41" s="6" t="s">
        <v>53</v>
      </c>
      <c r="E41" s="7">
        <v>45310</v>
      </c>
      <c r="F41" s="6">
        <v>19.989999999999998</v>
      </c>
      <c r="G41" s="6">
        <v>4</v>
      </c>
      <c r="H41" s="6">
        <f t="shared" si="0"/>
        <v>7.9959999999999996</v>
      </c>
      <c r="I41" s="12">
        <f t="shared" si="1"/>
        <v>87.955999999999989</v>
      </c>
    </row>
    <row r="42" spans="2:9">
      <c r="B42" s="10" t="s">
        <v>107</v>
      </c>
      <c r="C42" s="7">
        <v>45308</v>
      </c>
      <c r="D42" s="6" t="s">
        <v>31</v>
      </c>
      <c r="E42" s="7">
        <v>45310</v>
      </c>
      <c r="F42" s="6">
        <v>149.99</v>
      </c>
      <c r="G42" s="6">
        <v>1</v>
      </c>
      <c r="H42" s="6">
        <f t="shared" si="0"/>
        <v>14.999000000000002</v>
      </c>
      <c r="I42" s="12">
        <f t="shared" si="1"/>
        <v>164.989</v>
      </c>
    </row>
    <row r="43" spans="2:9">
      <c r="B43" s="10" t="s">
        <v>109</v>
      </c>
      <c r="C43" s="7">
        <v>45309</v>
      </c>
      <c r="D43" s="6" t="s">
        <v>41</v>
      </c>
      <c r="E43" s="7">
        <v>45314</v>
      </c>
      <c r="F43" s="6">
        <v>69.989999999999995</v>
      </c>
      <c r="G43" s="6">
        <v>2</v>
      </c>
      <c r="H43" s="6">
        <f t="shared" si="0"/>
        <v>13.997999999999999</v>
      </c>
      <c r="I43" s="12">
        <f t="shared" si="1"/>
        <v>153.97799999999998</v>
      </c>
    </row>
    <row r="44" spans="2:9">
      <c r="B44" s="10" t="s">
        <v>110</v>
      </c>
      <c r="C44" s="7">
        <v>45309</v>
      </c>
      <c r="D44" s="6" t="s">
        <v>49</v>
      </c>
      <c r="E44" s="7">
        <v>45310</v>
      </c>
      <c r="F44" s="6">
        <v>39.99</v>
      </c>
      <c r="G44" s="6">
        <v>3</v>
      </c>
      <c r="H44" s="6">
        <f t="shared" si="0"/>
        <v>11.997</v>
      </c>
      <c r="I44" s="12">
        <f t="shared" si="1"/>
        <v>131.96699999999998</v>
      </c>
    </row>
    <row r="45" spans="2:9">
      <c r="B45" s="10" t="s">
        <v>112</v>
      </c>
      <c r="C45" s="7">
        <v>45310</v>
      </c>
      <c r="D45" s="6" t="s">
        <v>25</v>
      </c>
      <c r="E45" s="7">
        <v>45311</v>
      </c>
      <c r="F45" s="6">
        <v>199.99</v>
      </c>
      <c r="G45" s="6">
        <v>1</v>
      </c>
      <c r="H45" s="6">
        <f t="shared" si="0"/>
        <v>19.999000000000002</v>
      </c>
      <c r="I45" s="12">
        <f t="shared" si="1"/>
        <v>219.989</v>
      </c>
    </row>
    <row r="46" spans="2:9">
      <c r="B46" s="10" t="s">
        <v>113</v>
      </c>
      <c r="C46" s="7">
        <v>45310</v>
      </c>
      <c r="D46" s="6" t="s">
        <v>36</v>
      </c>
      <c r="E46" s="7">
        <v>45313</v>
      </c>
      <c r="F46" s="6">
        <v>29.99</v>
      </c>
      <c r="G46" s="6">
        <v>5</v>
      </c>
      <c r="H46" s="6">
        <f t="shared" si="0"/>
        <v>14.994999999999999</v>
      </c>
      <c r="I46" s="12">
        <f t="shared" si="1"/>
        <v>164.94499999999999</v>
      </c>
    </row>
    <row r="47" spans="2:9">
      <c r="B47" s="10" t="s">
        <v>115</v>
      </c>
      <c r="C47" s="7">
        <v>45311</v>
      </c>
      <c r="D47" s="6" t="s">
        <v>6</v>
      </c>
      <c r="E47" s="7">
        <v>45315</v>
      </c>
      <c r="F47" s="6">
        <v>79.989999999999995</v>
      </c>
      <c r="G47" s="6">
        <v>2</v>
      </c>
      <c r="H47" s="6">
        <f t="shared" si="0"/>
        <v>15.997999999999999</v>
      </c>
      <c r="I47" s="12">
        <f t="shared" si="1"/>
        <v>175.97799999999998</v>
      </c>
    </row>
    <row r="48" spans="2:9">
      <c r="B48" s="10" t="s">
        <v>116</v>
      </c>
      <c r="C48" s="7">
        <v>45311</v>
      </c>
      <c r="D48" s="6" t="s">
        <v>19</v>
      </c>
      <c r="E48" s="7">
        <v>45312</v>
      </c>
      <c r="F48" s="6">
        <v>49.99</v>
      </c>
      <c r="G48" s="6">
        <v>3</v>
      </c>
      <c r="H48" s="6">
        <f t="shared" si="0"/>
        <v>14.997</v>
      </c>
      <c r="I48" s="12">
        <f t="shared" si="1"/>
        <v>164.96699999999998</v>
      </c>
    </row>
    <row r="49" spans="2:9">
      <c r="B49" s="10" t="s">
        <v>118</v>
      </c>
      <c r="C49" s="7">
        <v>45312</v>
      </c>
      <c r="D49" s="6" t="s">
        <v>7</v>
      </c>
      <c r="E49" s="7">
        <v>45317</v>
      </c>
      <c r="F49" s="6">
        <v>129.99</v>
      </c>
      <c r="G49" s="6">
        <v>1</v>
      </c>
      <c r="H49" s="6">
        <f t="shared" si="0"/>
        <v>12.999000000000002</v>
      </c>
      <c r="I49" s="12">
        <f t="shared" si="1"/>
        <v>142.989</v>
      </c>
    </row>
    <row r="50" spans="2:9">
      <c r="B50" s="10" t="s">
        <v>119</v>
      </c>
      <c r="C50" s="7">
        <v>45312</v>
      </c>
      <c r="D50" s="6" t="s">
        <v>18</v>
      </c>
      <c r="E50" s="7">
        <v>45314</v>
      </c>
      <c r="F50" s="6">
        <v>19.989999999999998</v>
      </c>
      <c r="G50" s="6">
        <v>4</v>
      </c>
      <c r="H50" s="6">
        <f t="shared" si="0"/>
        <v>7.9959999999999996</v>
      </c>
      <c r="I50" s="12">
        <f t="shared" si="1"/>
        <v>87.955999999999989</v>
      </c>
    </row>
    <row r="51" spans="2:9">
      <c r="B51" s="10" t="s">
        <v>121</v>
      </c>
      <c r="C51" s="7">
        <v>45313</v>
      </c>
      <c r="D51" s="6" t="s">
        <v>12</v>
      </c>
      <c r="E51" s="7">
        <v>45316</v>
      </c>
      <c r="F51" s="6">
        <v>149.99</v>
      </c>
      <c r="G51" s="6">
        <v>1</v>
      </c>
      <c r="H51" s="6">
        <f t="shared" si="0"/>
        <v>14.999000000000002</v>
      </c>
      <c r="I51" s="12">
        <f t="shared" si="1"/>
        <v>164.989</v>
      </c>
    </row>
    <row r="52" spans="2:9">
      <c r="B52" s="10" t="s">
        <v>122</v>
      </c>
      <c r="C52" s="7">
        <v>45313</v>
      </c>
      <c r="D52" s="6" t="s">
        <v>10</v>
      </c>
      <c r="E52" s="7">
        <v>45316</v>
      </c>
      <c r="F52" s="6">
        <v>69.989999999999995</v>
      </c>
      <c r="G52" s="6">
        <v>2</v>
      </c>
      <c r="H52" s="6">
        <f t="shared" si="0"/>
        <v>13.997999999999999</v>
      </c>
      <c r="I52" s="12">
        <f t="shared" si="1"/>
        <v>153.97799999999998</v>
      </c>
    </row>
    <row r="53" spans="2:9">
      <c r="B53" s="10" t="s">
        <v>124</v>
      </c>
      <c r="C53" s="7">
        <v>45314</v>
      </c>
      <c r="D53" s="6" t="s">
        <v>14</v>
      </c>
      <c r="E53" s="7">
        <v>45318</v>
      </c>
      <c r="F53" s="6">
        <v>39.99</v>
      </c>
      <c r="G53" s="6">
        <v>3</v>
      </c>
      <c r="H53" s="6">
        <f t="shared" si="0"/>
        <v>11.997</v>
      </c>
      <c r="I53" s="12">
        <f t="shared" si="1"/>
        <v>131.96699999999998</v>
      </c>
    </row>
    <row r="54" spans="2:9">
      <c r="B54" s="10" t="s">
        <v>125</v>
      </c>
      <c r="C54" s="7">
        <v>45314</v>
      </c>
      <c r="D54" s="6" t="s">
        <v>5</v>
      </c>
      <c r="E54" s="7">
        <v>45317</v>
      </c>
      <c r="F54" s="6">
        <v>199.99</v>
      </c>
      <c r="G54" s="6">
        <v>1</v>
      </c>
      <c r="H54" s="6">
        <f t="shared" si="0"/>
        <v>19.999000000000002</v>
      </c>
      <c r="I54" s="12">
        <f t="shared" si="1"/>
        <v>219.989</v>
      </c>
    </row>
    <row r="55" spans="2:9">
      <c r="B55" s="10" t="s">
        <v>127</v>
      </c>
      <c r="C55" s="7">
        <v>45315</v>
      </c>
      <c r="D55" s="6" t="s">
        <v>16</v>
      </c>
      <c r="E55" s="7">
        <v>45316</v>
      </c>
      <c r="F55" s="6">
        <v>29.99</v>
      </c>
      <c r="G55" s="6">
        <v>5</v>
      </c>
      <c r="H55" s="6">
        <f t="shared" si="0"/>
        <v>14.994999999999999</v>
      </c>
      <c r="I55" s="12">
        <f t="shared" si="1"/>
        <v>164.94499999999999</v>
      </c>
    </row>
    <row r="56" spans="2:9">
      <c r="B56" s="10" t="s">
        <v>128</v>
      </c>
      <c r="C56" s="7">
        <v>45315</v>
      </c>
      <c r="D56" s="6" t="s">
        <v>8</v>
      </c>
      <c r="E56" s="7">
        <v>45317</v>
      </c>
      <c r="F56" s="6">
        <v>79.989999999999995</v>
      </c>
      <c r="G56" s="6">
        <v>2</v>
      </c>
      <c r="H56" s="6">
        <f t="shared" si="0"/>
        <v>15.997999999999999</v>
      </c>
      <c r="I56" s="12">
        <f t="shared" si="1"/>
        <v>175.97799999999998</v>
      </c>
    </row>
    <row r="57" spans="2:9">
      <c r="B57" s="10" t="s">
        <v>130</v>
      </c>
      <c r="C57" s="7">
        <v>45316</v>
      </c>
      <c r="D57" s="6" t="s">
        <v>9</v>
      </c>
      <c r="E57" s="7">
        <v>45321</v>
      </c>
      <c r="F57" s="6">
        <v>49.99</v>
      </c>
      <c r="G57" s="6">
        <v>3</v>
      </c>
      <c r="H57" s="6">
        <f t="shared" si="0"/>
        <v>14.997</v>
      </c>
      <c r="I57" s="12">
        <f t="shared" si="1"/>
        <v>164.96699999999998</v>
      </c>
    </row>
    <row r="58" spans="2:9">
      <c r="B58" s="10" t="s">
        <v>131</v>
      </c>
      <c r="C58" s="7">
        <v>45316</v>
      </c>
      <c r="D58" s="6" t="s">
        <v>11</v>
      </c>
      <c r="E58" s="7">
        <v>45318</v>
      </c>
      <c r="F58" s="6">
        <v>129.99</v>
      </c>
      <c r="G58" s="6">
        <v>1</v>
      </c>
      <c r="H58" s="6">
        <f t="shared" si="0"/>
        <v>12.999000000000002</v>
      </c>
      <c r="I58" s="12">
        <f t="shared" si="1"/>
        <v>142.989</v>
      </c>
    </row>
    <row r="59" spans="2:9">
      <c r="B59" s="10" t="s">
        <v>133</v>
      </c>
      <c r="C59" s="7">
        <v>45317</v>
      </c>
      <c r="D59" s="6" t="s">
        <v>17</v>
      </c>
      <c r="E59" s="7">
        <v>45320</v>
      </c>
      <c r="F59" s="6">
        <v>19.989999999999998</v>
      </c>
      <c r="G59" s="6">
        <v>4</v>
      </c>
      <c r="H59" s="6">
        <f t="shared" si="0"/>
        <v>7.9959999999999996</v>
      </c>
      <c r="I59" s="12">
        <f t="shared" si="1"/>
        <v>87.955999999999989</v>
      </c>
    </row>
    <row r="60" spans="2:9">
      <c r="B60" s="10" t="s">
        <v>134</v>
      </c>
      <c r="C60" s="7">
        <v>45317</v>
      </c>
      <c r="D60" s="6" t="s">
        <v>13</v>
      </c>
      <c r="E60" s="7">
        <v>45319</v>
      </c>
      <c r="F60" s="6">
        <v>149.99</v>
      </c>
      <c r="G60" s="6">
        <v>1</v>
      </c>
      <c r="H60" s="6">
        <f t="shared" si="0"/>
        <v>14.999000000000002</v>
      </c>
      <c r="I60" s="12">
        <f t="shared" si="1"/>
        <v>164.989</v>
      </c>
    </row>
    <row r="61" spans="2:9">
      <c r="B61" s="10" t="s">
        <v>136</v>
      </c>
      <c r="C61" s="7">
        <v>45318</v>
      </c>
      <c r="D61" s="6" t="s">
        <v>20</v>
      </c>
      <c r="E61" s="7">
        <v>45322</v>
      </c>
      <c r="F61" s="6">
        <v>69.989999999999995</v>
      </c>
      <c r="G61" s="6">
        <v>2</v>
      </c>
      <c r="H61" s="6">
        <f t="shared" si="0"/>
        <v>13.997999999999999</v>
      </c>
      <c r="I61" s="12">
        <f t="shared" si="1"/>
        <v>153.97799999999998</v>
      </c>
    </row>
    <row r="62" spans="2:9">
      <c r="B62" s="10" t="s">
        <v>137</v>
      </c>
      <c r="C62" s="7">
        <v>45318</v>
      </c>
      <c r="D62" s="6" t="s">
        <v>15</v>
      </c>
      <c r="E62" s="7">
        <v>45322</v>
      </c>
      <c r="F62" s="6">
        <v>39.99</v>
      </c>
      <c r="G62" s="6">
        <v>3</v>
      </c>
      <c r="H62" s="6">
        <f t="shared" si="0"/>
        <v>11.997</v>
      </c>
      <c r="I62" s="12">
        <f t="shared" si="1"/>
        <v>131.96699999999998</v>
      </c>
    </row>
    <row r="63" spans="2:9">
      <c r="B63" s="10" t="s">
        <v>139</v>
      </c>
      <c r="C63" s="7">
        <v>45319</v>
      </c>
      <c r="D63" s="6" t="s">
        <v>22</v>
      </c>
      <c r="E63" s="7">
        <v>45320</v>
      </c>
      <c r="F63" s="6">
        <v>199.99</v>
      </c>
      <c r="G63" s="6">
        <v>1</v>
      </c>
      <c r="H63" s="6">
        <f t="shared" si="0"/>
        <v>19.999000000000002</v>
      </c>
      <c r="I63" s="12">
        <f t="shared" si="1"/>
        <v>219.989</v>
      </c>
    </row>
    <row r="64" spans="2:9">
      <c r="B64" s="10" t="s">
        <v>140</v>
      </c>
      <c r="C64" s="7">
        <v>45319</v>
      </c>
      <c r="D64" s="6" t="s">
        <v>39</v>
      </c>
      <c r="E64" s="7">
        <v>45320</v>
      </c>
      <c r="F64" s="6">
        <v>29.99</v>
      </c>
      <c r="G64" s="6">
        <v>5</v>
      </c>
      <c r="H64" s="6">
        <f t="shared" si="0"/>
        <v>14.994999999999999</v>
      </c>
      <c r="I64" s="12">
        <f t="shared" si="1"/>
        <v>164.94499999999999</v>
      </c>
    </row>
    <row r="65" spans="2:9">
      <c r="B65" s="10" t="s">
        <v>142</v>
      </c>
      <c r="C65" s="7">
        <v>45320</v>
      </c>
      <c r="D65" s="6" t="s">
        <v>27</v>
      </c>
      <c r="E65" s="7">
        <v>45321</v>
      </c>
      <c r="F65" s="6">
        <v>79.989999999999995</v>
      </c>
      <c r="G65" s="6">
        <v>2</v>
      </c>
      <c r="H65" s="6">
        <f t="shared" si="0"/>
        <v>15.997999999999999</v>
      </c>
      <c r="I65" s="12">
        <f t="shared" si="1"/>
        <v>175.97799999999998</v>
      </c>
    </row>
    <row r="66" spans="2:9">
      <c r="B66" s="10" t="s">
        <v>143</v>
      </c>
      <c r="C66" s="7">
        <v>45320</v>
      </c>
      <c r="D66" s="6" t="s">
        <v>18</v>
      </c>
      <c r="E66" s="7">
        <v>45322</v>
      </c>
      <c r="F66" s="6">
        <v>49.99</v>
      </c>
      <c r="G66" s="6">
        <v>3</v>
      </c>
      <c r="H66" s="6">
        <f t="shared" si="0"/>
        <v>14.997</v>
      </c>
      <c r="I66" s="12">
        <f t="shared" si="1"/>
        <v>164.96699999999998</v>
      </c>
    </row>
    <row r="67" spans="2:9">
      <c r="B67" s="10" t="s">
        <v>145</v>
      </c>
      <c r="C67" s="7">
        <v>45321</v>
      </c>
      <c r="D67" s="6" t="s">
        <v>12</v>
      </c>
      <c r="E67" s="7">
        <v>45322</v>
      </c>
      <c r="F67" s="6">
        <v>129.99</v>
      </c>
      <c r="G67" s="6">
        <v>1</v>
      </c>
      <c r="H67" s="6">
        <f t="shared" si="0"/>
        <v>12.999000000000002</v>
      </c>
      <c r="I67" s="12">
        <f t="shared" si="1"/>
        <v>142.989</v>
      </c>
    </row>
    <row r="68" spans="2:9">
      <c r="B68" s="10" t="s">
        <v>146</v>
      </c>
      <c r="C68" s="7">
        <v>45321</v>
      </c>
      <c r="D68" s="6" t="s">
        <v>10</v>
      </c>
      <c r="E68" s="7">
        <v>45323</v>
      </c>
      <c r="F68" s="6">
        <v>19.989999999999998</v>
      </c>
      <c r="G68" s="6">
        <v>4</v>
      </c>
      <c r="H68" s="6">
        <f t="shared" si="0"/>
        <v>7.9959999999999996</v>
      </c>
      <c r="I68" s="12">
        <f t="shared" si="1"/>
        <v>87.955999999999989</v>
      </c>
    </row>
    <row r="69" spans="2:9">
      <c r="B69" s="10" t="s">
        <v>148</v>
      </c>
      <c r="C69" s="7">
        <v>45322</v>
      </c>
      <c r="D69" s="6" t="s">
        <v>14</v>
      </c>
      <c r="E69" s="7">
        <v>45324</v>
      </c>
      <c r="F69" s="6">
        <v>149.99</v>
      </c>
      <c r="G69" s="6">
        <v>1</v>
      </c>
      <c r="H69" s="6">
        <f t="shared" si="0"/>
        <v>14.999000000000002</v>
      </c>
      <c r="I69" s="12">
        <f t="shared" si="1"/>
        <v>164.989</v>
      </c>
    </row>
    <row r="70" spans="2:9">
      <c r="B70" s="10" t="s">
        <v>149</v>
      </c>
      <c r="C70" s="7">
        <v>45322</v>
      </c>
      <c r="D70" s="6" t="s">
        <v>5</v>
      </c>
      <c r="E70" s="7">
        <v>45326</v>
      </c>
      <c r="F70" s="6">
        <v>69.989999999999995</v>
      </c>
      <c r="G70" s="6">
        <v>2</v>
      </c>
      <c r="H70" s="6">
        <f t="shared" si="0"/>
        <v>13.997999999999999</v>
      </c>
      <c r="I70" s="12">
        <f t="shared" si="1"/>
        <v>153.97799999999998</v>
      </c>
    </row>
    <row r="71" spans="2:9">
      <c r="B71" s="10" t="s">
        <v>151</v>
      </c>
      <c r="C71" s="7">
        <v>45323</v>
      </c>
      <c r="D71" s="6" t="s">
        <v>16</v>
      </c>
      <c r="E71" s="7">
        <v>45324</v>
      </c>
      <c r="F71" s="6">
        <v>39.99</v>
      </c>
      <c r="G71" s="6">
        <v>3</v>
      </c>
      <c r="H71" s="6">
        <f t="shared" si="0"/>
        <v>11.997</v>
      </c>
      <c r="I71" s="12">
        <f t="shared" si="1"/>
        <v>131.96699999999998</v>
      </c>
    </row>
    <row r="72" spans="2:9">
      <c r="B72" s="10" t="s">
        <v>152</v>
      </c>
      <c r="C72" s="7">
        <v>45323</v>
      </c>
      <c r="D72" s="6" t="s">
        <v>8</v>
      </c>
      <c r="E72" s="7">
        <v>45327</v>
      </c>
      <c r="F72" s="6">
        <v>199.99</v>
      </c>
      <c r="G72" s="6">
        <v>1</v>
      </c>
      <c r="H72" s="6">
        <f t="shared" si="0"/>
        <v>19.999000000000002</v>
      </c>
      <c r="I72" s="12">
        <f t="shared" si="1"/>
        <v>219.989</v>
      </c>
    </row>
    <row r="73" spans="2:9">
      <c r="B73" s="10" t="s">
        <v>153</v>
      </c>
      <c r="C73" s="7">
        <v>45323</v>
      </c>
      <c r="D73" s="6" t="s">
        <v>9</v>
      </c>
      <c r="E73" s="7">
        <v>45325</v>
      </c>
      <c r="F73" s="6">
        <v>29.99</v>
      </c>
      <c r="G73" s="6">
        <v>5</v>
      </c>
      <c r="H73" s="6">
        <f t="shared" si="0"/>
        <v>14.994999999999999</v>
      </c>
      <c r="I73" s="12">
        <f t="shared" si="1"/>
        <v>164.94499999999999</v>
      </c>
    </row>
    <row r="74" spans="2:9">
      <c r="B74" s="10" t="s">
        <v>155</v>
      </c>
      <c r="C74" s="7">
        <v>45324</v>
      </c>
      <c r="D74" s="6" t="s">
        <v>11</v>
      </c>
      <c r="E74" s="7">
        <v>45328</v>
      </c>
      <c r="F74" s="6">
        <v>79.989999999999995</v>
      </c>
      <c r="G74" s="6">
        <v>2</v>
      </c>
      <c r="H74" s="6">
        <f t="shared" ref="H74:H78" si="2">F74*G74*$I$6</f>
        <v>15.997999999999999</v>
      </c>
      <c r="I74" s="12">
        <f t="shared" ref="I74:I78" si="3">F74*G74+H74</f>
        <v>175.97799999999998</v>
      </c>
    </row>
    <row r="75" spans="2:9">
      <c r="B75" s="10" t="s">
        <v>157</v>
      </c>
      <c r="C75" s="7">
        <v>45325</v>
      </c>
      <c r="D75" s="6" t="s">
        <v>17</v>
      </c>
      <c r="E75" s="7">
        <v>45328</v>
      </c>
      <c r="F75" s="6">
        <v>49.99</v>
      </c>
      <c r="G75" s="6">
        <v>3</v>
      </c>
      <c r="H75" s="6">
        <f t="shared" si="2"/>
        <v>14.997</v>
      </c>
      <c r="I75" s="12">
        <f t="shared" si="3"/>
        <v>164.96699999999998</v>
      </c>
    </row>
    <row r="76" spans="2:9">
      <c r="B76" s="10" t="s">
        <v>159</v>
      </c>
      <c r="C76" s="7">
        <v>45326</v>
      </c>
      <c r="D76" s="6" t="s">
        <v>13</v>
      </c>
      <c r="E76" s="7">
        <v>45327</v>
      </c>
      <c r="F76" s="6">
        <v>129.99</v>
      </c>
      <c r="G76" s="6">
        <v>1</v>
      </c>
      <c r="H76" s="6">
        <f t="shared" si="2"/>
        <v>12.999000000000002</v>
      </c>
      <c r="I76" s="12">
        <f t="shared" si="3"/>
        <v>142.989</v>
      </c>
    </row>
    <row r="77" spans="2:9">
      <c r="B77" s="10" t="s">
        <v>160</v>
      </c>
      <c r="C77" s="7">
        <v>45326</v>
      </c>
      <c r="D77" s="6" t="s">
        <v>20</v>
      </c>
      <c r="E77" s="7">
        <v>45330</v>
      </c>
      <c r="F77" s="6">
        <v>19.989999999999998</v>
      </c>
      <c r="G77" s="6">
        <v>4</v>
      </c>
      <c r="H77" s="6">
        <f t="shared" si="2"/>
        <v>7.9959999999999996</v>
      </c>
      <c r="I77" s="12">
        <f t="shared" si="3"/>
        <v>87.955999999999989</v>
      </c>
    </row>
    <row r="78" spans="2:9">
      <c r="B78" s="13" t="s">
        <v>161</v>
      </c>
      <c r="C78" s="14">
        <v>45326</v>
      </c>
      <c r="D78" s="15" t="s">
        <v>15</v>
      </c>
      <c r="E78" s="14">
        <v>45329</v>
      </c>
      <c r="F78" s="15">
        <v>149.99</v>
      </c>
      <c r="G78" s="15">
        <v>1</v>
      </c>
      <c r="H78" s="15">
        <f t="shared" si="2"/>
        <v>14.999000000000002</v>
      </c>
      <c r="I78" s="16">
        <f t="shared" si="3"/>
        <v>164.989</v>
      </c>
    </row>
    <row r="79" spans="2:9">
      <c r="C79" s="8"/>
    </row>
    <row r="80" spans="2:9">
      <c r="C80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Seemanto Saha</dc:creator>
  <cp:keywords/>
  <dc:description/>
  <cp:lastModifiedBy>Jay Kumar</cp:lastModifiedBy>
  <cp:revision/>
  <dcterms:created xsi:type="dcterms:W3CDTF">2024-02-19T11:17:54Z</dcterms:created>
  <dcterms:modified xsi:type="dcterms:W3CDTF">2026-02-07T09:57:43Z</dcterms:modified>
  <cp:category/>
  <cp:contentStatus/>
</cp:coreProperties>
</file>